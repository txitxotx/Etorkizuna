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⚙️ INPUTS" sheetId="1" state="visible" r:id="rId3"/>
    <sheet name="📋 ACTIVOS" sheetId="2" state="visible" r:id="rId4"/>
    <sheet name="📊 DASHBOARD" sheetId="3" state="visible" r:id="rId5"/>
    <sheet name="📉 RIESGO" sheetId="4" state="visible" r:id="rId6"/>
    <sheet name="🔍 ANÁLISIS" sheetId="5" state="visible" r:id="rId7"/>
    <sheet name="📅 HISTÓRIC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<sst xmlns="http://schemas.openxmlformats.org/spreadsheetml/2006/main" count="362" uniqueCount="251">
  <si>
    <t xml:space="preserve">⚙️  PARÁMETROS DE CARTERA  —  Tabla de Inputs Editables</t>
  </si>
  <si>
    <t xml:space="preserve">Modifica los campos en AZUL  ·  Los campos en NEGRO son fórmulas automáticas  ·  Los campos en VERDE enlazan otras pestañas</t>
  </si>
  <si>
    <t xml:space="preserve">  📊  PARÁMETROS DE MERCADO</t>
  </si>
  <si>
    <t xml:space="preserve">  🗓️  PARÁMETROS TEMPORALES</t>
  </si>
  <si>
    <t xml:space="preserve">Tasa libre de riesgo anual</t>
  </si>
  <si>
    <t xml:space="preserve">Euribor / Bund 10Y · Fuente: ECB</t>
  </si>
  <si>
    <t xml:space="preserve">Fecha cotización</t>
  </si>
  <si>
    <t xml:space="preserve">19/02/2026</t>
  </si>
  <si>
    <t xml:space="preserve">Fecha última actualización</t>
  </si>
  <si>
    <t xml:space="preserve">Prima de riesgo de mercado</t>
  </si>
  <si>
    <t xml:space="preserve">Histórico largo plazo mercado europeo</t>
  </si>
  <si>
    <t xml:space="preserve">Horizonte inversión (años)</t>
  </si>
  <si>
    <t xml:space="preserve">Para cálculo de rentabilidad esperada</t>
  </si>
  <si>
    <t xml:space="preserve">Inflación esperada (anual)</t>
  </si>
  <si>
    <t xml:space="preserve">Objetivo BCE ≈ 2-3%</t>
  </si>
  <si>
    <t xml:space="preserve">Frecuencia rebalanceo</t>
  </si>
  <si>
    <t xml:space="preserve">Semestral</t>
  </si>
  <si>
    <t xml:space="preserve">Anual / Semestral / Trimestral</t>
  </si>
  <si>
    <t xml:space="preserve">Tipo impositivo (ganancias cap.)</t>
  </si>
  <si>
    <t xml:space="preserve">IRPF España 2025 (tramo general)</t>
  </si>
  <si>
    <t xml:space="preserve">Benchmark RF</t>
  </si>
  <si>
    <t xml:space="preserve">iBoxx EUR</t>
  </si>
  <si>
    <t xml:space="preserve">Índice de referencia RF</t>
  </si>
  <si>
    <t xml:space="preserve">Comisión media fondos RF</t>
  </si>
  <si>
    <t xml:space="preserve">Estimación GVC Gaesco RF</t>
  </si>
  <si>
    <t xml:space="preserve">Benchmark RV</t>
  </si>
  <si>
    <t xml:space="preserve">MSCI World</t>
  </si>
  <si>
    <t xml:space="preserve">Índice de referencia RV</t>
  </si>
  <si>
    <t xml:space="preserve">Comisión media fondos RV</t>
  </si>
  <si>
    <t xml:space="preserve">Estimación GVC Gaesco RV</t>
  </si>
  <si>
    <t xml:space="preserve">Benchmark Cripto</t>
  </si>
  <si>
    <t xml:space="preserve">BTC</t>
  </si>
  <si>
    <t xml:space="preserve">Referencia cripto</t>
  </si>
  <si>
    <t xml:space="preserve">Comisión media Cripto (exchange)</t>
  </si>
  <si>
    <t xml:space="preserve">Estimación media exchange</t>
  </si>
  <si>
    <t xml:space="preserve">Rentabilidad objetivo cartera</t>
  </si>
  <si>
    <t xml:space="preserve">Meta anual del inversor</t>
  </si>
  <si>
    <t xml:space="preserve">Volatilidad objetivo (máx.)</t>
  </si>
  <si>
    <t xml:space="preserve">Tolerancia al riesgo</t>
  </si>
  <si>
    <t xml:space="preserve">Ratio Sharpe objetivo</t>
  </si>
  <si>
    <t xml:space="preserve">Rentabilidad ajustada por riesgo</t>
  </si>
  <si>
    <t xml:space="preserve">  ⚖️  PESOS OBJETIVO DE CARTERA  (editable)</t>
  </si>
  <si>
    <t xml:space="preserve">  📈  RENTABILIDADES ESPERADAS POR TIPO</t>
  </si>
  <si>
    <t xml:space="preserve">Tipo de Activo</t>
  </si>
  <si>
    <t xml:space="preserve">Peso Objetivo %</t>
  </si>
  <si>
    <t xml:space="preserve">Peso Actual % (auto)</t>
  </si>
  <si>
    <t xml:space="preserve">Desviación (auto)</t>
  </si>
  <si>
    <t xml:space="preserve">Rent. Esperada % (input)</t>
  </si>
  <si>
    <t xml:space="preserve">Volatilidad Est. % (input)</t>
  </si>
  <si>
    <t xml:space="preserve">Sharpe Est. (auto)</t>
  </si>
  <si>
    <t xml:space="preserve">Renta Fija</t>
  </si>
  <si>
    <t xml:space="preserve">Renta Variable</t>
  </si>
  <si>
    <t xml:space="preserve">Criptomonedas</t>
  </si>
  <si>
    <t xml:space="preserve">TOTAL</t>
  </si>
  <si>
    <t xml:space="preserve">  🧮  MÉTRICAS GLOBALES DE CARTERA  (calculadas automáticamente)</t>
  </si>
  <si>
    <t xml:space="preserve">Métrica</t>
  </si>
  <si>
    <t xml:space="preserve">Valor</t>
  </si>
  <si>
    <t xml:space="preserve">Fórmula/Concepto</t>
  </si>
  <si>
    <t xml:space="preserve">Rentabilidad esperada cartera</t>
  </si>
  <si>
    <t xml:space="preserve">Rentabilidad esperada anual ponderada</t>
  </si>
  <si>
    <t xml:space="preserve">Volatilidad esperada cartera</t>
  </si>
  <si>
    <t xml:space="preserve">Volatilidad simplificada sin correlaciones</t>
  </si>
  <si>
    <t xml:space="preserve">Sharpe Ratio cartera</t>
  </si>
  <si>
    <t xml:space="preserve">Exceso retorno / volatilidad</t>
  </si>
  <si>
    <t xml:space="preserve">Rentabilidad sobre coste</t>
  </si>
  <si>
    <t xml:space="preserve">Total realizado sobre inversión</t>
  </si>
  <si>
    <t xml:space="preserve">Capital invertido total</t>
  </si>
  <si>
    <t xml:space="preserve">Coste total de adquisición</t>
  </si>
  <si>
    <t xml:space="preserve">Valor actual total</t>
  </si>
  <si>
    <t xml:space="preserve">Valor de mercado actual</t>
  </si>
  <si>
    <t xml:space="preserve">Ganancia / Pérdida total</t>
  </si>
  <si>
    <t xml:space="preserve">Plusvalía no realizada total</t>
  </si>
  <si>
    <t xml:space="preserve">Rentabilidad esperada (10Y)</t>
  </si>
  <si>
    <t xml:space="preserve">Efecto compuesto al horizonte de inversión</t>
  </si>
  <si>
    <t xml:space="preserve">CÓDIGO DE COLORES:   🔵 Azul = Input editable   |   ⚫ Negro = Fórmula automática   |   🟢 Verde = Enlace entre pestañas   |   🟡 Fondo amarillo = Celda que requiere atención</t>
  </si>
  <si>
    <t xml:space="preserve">📋  CARTERA DE ACTIVOS  —  Datos editables por activo</t>
  </si>
  <si>
    <t xml:space="preserve">Los campos en AZUL son inputs editables. Actualiza Precio Hoy y el resto se recalcula automáticamente.</t>
  </si>
  <si>
    <t xml:space="preserve">#</t>
  </si>
  <si>
    <t xml:space="preserve">Cat.</t>
  </si>
  <si>
    <t xml:space="preserve">Nombre del Activo</t>
  </si>
  <si>
    <t xml:space="preserve">Títulos</t>
  </si>
  <si>
    <t xml:space="preserve">P. Compra (€)</t>
  </si>
  <si>
    <t xml:space="preserve">Invertido (€)</t>
  </si>
  <si>
    <t xml:space="preserve">Precio Hoy (€)</t>
  </si>
  <si>
    <t xml:space="preserve">Valor Actual (€)</t>
  </si>
  <si>
    <t xml:space="preserve">G/P (€)</t>
  </si>
  <si>
    <t xml:space="preserve">Rent. Total %</t>
  </si>
  <si>
    <t xml:space="preserve">YTD %</t>
  </si>
  <si>
    <t xml:space="preserve">MTD %</t>
  </si>
  <si>
    <t xml:space="preserve">Rent. 2021 %</t>
  </si>
  <si>
    <t xml:space="preserve">Peso %</t>
  </si>
  <si>
    <t xml:space="preserve">RF</t>
  </si>
  <si>
    <t xml:space="preserve">GVC RF Horizonte</t>
  </si>
  <si>
    <t xml:space="preserve">GVC RF Flexible CONJUNTA</t>
  </si>
  <si>
    <t xml:space="preserve">GVC RF Flexible</t>
  </si>
  <si>
    <t xml:space="preserve">GVC Constantfons FI</t>
  </si>
  <si>
    <t xml:space="preserve">RV</t>
  </si>
  <si>
    <t xml:space="preserve">Pictet China Index</t>
  </si>
  <si>
    <t xml:space="preserve">GVC Zebra US Small Caps</t>
  </si>
  <si>
    <t xml:space="preserve">GVC Value Minu A</t>
  </si>
  <si>
    <t xml:space="preserve">GVC VIF Clase A FI</t>
  </si>
  <si>
    <t xml:space="preserve">GVC Small Caps A FI</t>
  </si>
  <si>
    <t xml:space="preserve">GVC Japón CONJUNTA</t>
  </si>
  <si>
    <t xml:space="preserve">GVC Japón A FI</t>
  </si>
  <si>
    <t xml:space="preserve">GVC Global Equity DS A</t>
  </si>
  <si>
    <t xml:space="preserve">GVC Emergentfond FI</t>
  </si>
  <si>
    <t xml:space="preserve">GVC 300 Places CONJUNTA</t>
  </si>
  <si>
    <t xml:space="preserve">GVC 300 Places Worldwide</t>
  </si>
  <si>
    <t xml:space="preserve">Fidelity S&amp;P 500 Index</t>
  </si>
  <si>
    <t xml:space="preserve">Fidelity MSCI World</t>
  </si>
  <si>
    <t xml:space="preserve">CR</t>
  </si>
  <si>
    <t xml:space="preserve">XRP</t>
  </si>
  <si>
    <t xml:space="preserve">Sui</t>
  </si>
  <si>
    <t xml:space="preserve">Solana</t>
  </si>
  <si>
    <t xml:space="preserve">Pump.fun</t>
  </si>
  <si>
    <t xml:space="preserve">Pudgy Penguins</t>
  </si>
  <si>
    <t xml:space="preserve">Linea</t>
  </si>
  <si>
    <t xml:space="preserve">Kaspa</t>
  </si>
  <si>
    <t xml:space="preserve">Bitcoin</t>
  </si>
  <si>
    <t xml:space="preserve">TOTAL CARTERA</t>
  </si>
  <si>
    <t xml:space="preserve">📊  CUADRO DE MANDOS  —  CARTERA DE INVERSIÓN GVC GAESCO</t>
  </si>
  <si>
    <t xml:space="preserve">Última actualización: —  Fuente: ⚙️ INPUTS + 📋 ACTIVOS  |  Tasa libre de riesgo: 2,00%  |  Datos en €</t>
  </si>
  <si>
    <t xml:space="preserve">VALOR TOTAL CARTERA</t>
  </si>
  <si>
    <t xml:space="preserve">GANANCIA / PÉRDIDA</t>
  </si>
  <si>
    <t xml:space="preserve">Sobre coste total</t>
  </si>
  <si>
    <t xml:space="preserve">RENT. ESPERADA ANUAL</t>
  </si>
  <si>
    <t xml:space="preserve">VOLATILIDAD ESPERADA</t>
  </si>
  <si>
    <t xml:space="preserve">Ponderada por pesos objetivo</t>
  </si>
  <si>
    <t xml:space="preserve">Estimación sin correlaciones</t>
  </si>
  <si>
    <t xml:space="preserve">25 posiciones activas</t>
  </si>
  <si>
    <t xml:space="preserve">  ANÁLISIS POR CATEGORÍA DE ACTIVOS</t>
  </si>
  <si>
    <t xml:space="preserve">Categoría</t>
  </si>
  <si>
    <t xml:space="preserve">Peso Cartera %</t>
  </si>
  <si>
    <t xml:space="preserve">Rent. Esperada %</t>
  </si>
  <si>
    <t xml:space="preserve">Volatilidad Est. %</t>
  </si>
  <si>
    <t xml:space="preserve">Sharpe Est.</t>
  </si>
  <si>
    <t xml:space="preserve">🟢 Renta Fija</t>
  </si>
  <si>
    <t xml:space="preserve">🔵 Renta Variable</t>
  </si>
  <si>
    <t xml:space="preserve">🟡 Criptomonedas</t>
  </si>
  <si>
    <t xml:space="preserve">  RENTABILIDAD ESPERADA Y RIESGO ASUMIDO</t>
  </si>
  <si>
    <t xml:space="preserve">Peso Actual</t>
  </si>
  <si>
    <t xml:space="preserve">Rent. Esp. %</t>
  </si>
  <si>
    <t xml:space="preserve">Contrib. Rent.</t>
  </si>
  <si>
    <t xml:space="preserve">Vol. Est. %</t>
  </si>
  <si>
    <t xml:space="preserve">Contrib. Vol.</t>
  </si>
  <si>
    <t xml:space="preserve">Max Drawdown Est.</t>
  </si>
  <si>
    <t xml:space="preserve">Rent. Real YTD</t>
  </si>
  <si>
    <t xml:space="preserve">Diferencial (Esp-Real)</t>
  </si>
  <si>
    <t xml:space="preserve">CARTERA TOTAL</t>
  </si>
  <si>
    <t xml:space="preserve">  ⚠️  NOTA: Las rentabilidades esperadas y volatilidades son estimaciones. Los datos en azul son editables en ⚙️ INPUTS. Actualiza la columna G (Precio Hoy) en 📋 ACTIVOS para refrescar el cuadro.</t>
  </si>
  <si>
    <t xml:space="preserve">📉  ANÁLISIS DE RIESGO  —  Métricas de riesgo por activo y cartera</t>
  </si>
  <si>
    <t xml:space="preserve">Rentabilidad esperada = Rf + β × (Rm - Rf)  |  Rf = tasa libre de riesgo (editable en ⚙️ INPUTS)  |  Sharpe = (R - Rf) / σ</t>
  </si>
  <si>
    <t xml:space="preserve">Activo</t>
  </si>
  <si>
    <t xml:space="preserve">Rent. Total</t>
  </si>
  <si>
    <t xml:space="preserve">YTD</t>
  </si>
  <si>
    <t xml:space="preserve">MTD</t>
  </si>
  <si>
    <t xml:space="preserve">Rent. Esp. Cat.</t>
  </si>
  <si>
    <t xml:space="preserve">Vol. Est. Cat.</t>
  </si>
  <si>
    <t xml:space="preserve">Máx. Drawdown Est.</t>
  </si>
  <si>
    <t xml:space="preserve">📌  INTERPRETACIÓN DEL RATIO SHARPE:  &gt;1.0 = Excelente  |  0.5-1.0 = Bueno  |  0-0.5 = Aceptable  |  &lt;0 = La inversión no compensa el riesgo asumido</t>
  </si>
  <si>
    <t xml:space="preserve">📌  MÁXIMO DRAWDOWN: Caída máxima estimada desde máximos en escenario bajista severo. RF: −8%  |  RV: −30%  |  Cripto: −78% (valores reales actuales)</t>
  </si>
  <si>
    <t xml:space="preserve">📌  VOLATILIDAD ESPERADA: Estimación anualizada. RF ~4%  |  RV ~15%  |  Cripto ~65%. Editable en ⚙️ INPUTS para ajustar según condiciones de mercado</t>
  </si>
  <si>
    <t xml:space="preserve">🔍  ANÁLISIS EN PROFUNDIDAD  —  Hallazgos, Alertas y Recomendaciones</t>
  </si>
  <si>
    <t xml:space="preserve">  📊  SCORECARD DE CARTERA</t>
  </si>
  <si>
    <t xml:space="preserve">Dimensión</t>
  </si>
  <si>
    <t xml:space="preserve">Score (1-10)</t>
  </si>
  <si>
    <t xml:space="preserve">Peso</t>
  </si>
  <si>
    <t xml:space="preserve">Score Ponderado</t>
  </si>
  <si>
    <t xml:space="preserve">Benchmark</t>
  </si>
  <si>
    <t xml:space="preserve">vs Benchmark</t>
  </si>
  <si>
    <t xml:space="preserve">Semáforo</t>
  </si>
  <si>
    <t xml:space="preserve">Rentabilidad total</t>
  </si>
  <si>
    <t xml:space="preserve">Gestión del riesgo</t>
  </si>
  <si>
    <t xml:space="preserve">Diversificación</t>
  </si>
  <si>
    <t xml:space="preserve">8</t>
  </si>
  <si>
    <t xml:space="preserve">Calidad de activos</t>
  </si>
  <si>
    <t xml:space="preserve">7</t>
  </si>
  <si>
    <t xml:space="preserve">Coste (comisiones)</t>
  </si>
  <si>
    <t xml:space="preserve">6</t>
  </si>
  <si>
    <t xml:space="preserve">Liquidez</t>
  </si>
  <si>
    <t xml:space="preserve">SCORE GLOBAL CARTERA</t>
  </si>
  <si>
    <t xml:space="preserve">  💡  RECOMENDACIONES ACCIONABLES</t>
  </si>
  <si>
    <t xml:space="preserve">Prioridad</t>
  </si>
  <si>
    <t xml:space="preserve">Tipo</t>
  </si>
  <si>
    <t xml:space="preserve">Activo / Área</t>
  </si>
  <si>
    <t xml:space="preserve">Acción Recomendada</t>
  </si>
  <si>
    <t xml:space="preserve">Impacto Esperado</t>
  </si>
  <si>
    <t xml:space="preserve">Plazo</t>
  </si>
  <si>
    <t xml:space="preserve">Estado</t>
  </si>
  <si>
    <t xml:space="preserve">🔴 ALTA</t>
  </si>
  <si>
    <t xml:space="preserve">Vender</t>
  </si>
  <si>
    <t xml:space="preserve">Cripto menores (4)</t>
  </si>
  <si>
    <t xml:space="preserve">Liquidar Pump.fun, Pudgy, Linea, Kaspa (−66% a −78%). Aceptar pérdidas y reinvertir en RV</t>
  </si>
  <si>
    <t xml:space="preserve">+Rent., −Riesgo</t>
  </si>
  <si>
    <t xml:space="preserve">Inmediato</t>
  </si>
  <si>
    <t xml:space="preserve">Pendiente</t>
  </si>
  <si>
    <t xml:space="preserve">Rebalanceo</t>
  </si>
  <si>
    <t xml:space="preserve">Peso RV actual 21.8%</t>
  </si>
  <si>
    <t xml:space="preserve">Incrementar RV al 30-33% redirigiendo nuevas aportaciones (objetivo 65/33/2)</t>
  </si>
  <si>
    <t xml:space="preserve">+Rent. esperada</t>
  </si>
  <si>
    <t xml:space="preserve">6-12 meses</t>
  </si>
  <si>
    <t xml:space="preserve">🟡 MEDIA</t>
  </si>
  <si>
    <t xml:space="preserve">Diversif.</t>
  </si>
  <si>
    <t xml:space="preserve">GVC Gaesco &gt;72%</t>
  </si>
  <si>
    <t xml:space="preserve">Añadir fondos de otras gestoras (Vanguard, iShares, Amundi) para reducir riesgo gestora</t>
  </si>
  <si>
    <t xml:space="preserve">−Riesgo conc.</t>
  </si>
  <si>
    <t xml:space="preserve">12 meses</t>
  </si>
  <si>
    <t xml:space="preserve">Comprar</t>
  </si>
  <si>
    <t xml:space="preserve">GVC Japón / 300 Places</t>
  </si>
  <si>
    <t xml:space="preserve">En correcciones ≥5%, incrementar estas posiciones (+22-29% acumulado, mejor momentum)</t>
  </si>
  <si>
    <t xml:space="preserve">Oportunista</t>
  </si>
  <si>
    <t xml:space="preserve">Revisar</t>
  </si>
  <si>
    <t xml:space="preserve">Pictet China (−0.27% total)</t>
  </si>
  <si>
    <t xml:space="preserve">Evaluar tesis de inversión China. Si macro no mejora en 6 meses, rotar a Emergentes</t>
  </si>
  <si>
    <t xml:space="preserve">Neutral/positivo</t>
  </si>
  <si>
    <t xml:space="preserve">6 meses</t>
  </si>
  <si>
    <t xml:space="preserve">🟢 BAJA</t>
  </si>
  <si>
    <t xml:space="preserve">Simplif.</t>
  </si>
  <si>
    <t xml:space="preserve">Posiciones CONJUNTA+Normal</t>
  </si>
  <si>
    <t xml:space="preserve">Consolidar GVC Japón, 300 Places y RF Flexible para simplificar seguimiento</t>
  </si>
  <si>
    <t xml:space="preserve">Operativo</t>
  </si>
  <si>
    <t xml:space="preserve">Mantener</t>
  </si>
  <si>
    <t xml:space="preserve">Bitcoin + Solana (DCA)</t>
  </si>
  <si>
    <t xml:space="preserve">En caídas ≥15%, considerar DCA limitado (máx. €500). Resto de cripto: no promediar</t>
  </si>
  <si>
    <t xml:space="preserve">Long-term option</t>
  </si>
  <si>
    <t xml:space="preserve">  📉  ANÁLISIS DE ESCENARIOS  —  Impacto en la cartera ante distintos shocks de mercado</t>
  </si>
  <si>
    <t xml:space="preserve">Escenario</t>
  </si>
  <si>
    <t xml:space="preserve">Shock RF</t>
  </si>
  <si>
    <t xml:space="preserve">Shock RV</t>
  </si>
  <si>
    <t xml:space="preserve">Shock Cripto</t>
  </si>
  <si>
    <t xml:space="preserve">Impacto Cartera Est.</t>
  </si>
  <si>
    <t xml:space="preserve">Valor Cartera Est.</t>
  </si>
  <si>
    <t xml:space="preserve">Pérdida Estimada</t>
  </si>
  <si>
    <t xml:space="preserve">🟢 Escenario favorable</t>
  </si>
  <si>
    <t xml:space="preserve">⚪ Escenario base</t>
  </si>
  <si>
    <t xml:space="preserve">🟡 Corrección moderada</t>
  </si>
  <si>
    <t xml:space="preserve">🔴 Mercado bajista</t>
  </si>
  <si>
    <t xml:space="preserve">🚨 Crisis severa</t>
  </si>
  <si>
    <t xml:space="preserve">📅  REGISTRO HISTÓRICO  —  Evolución de la cartera en el tiempo (actualizar manualmente)</t>
  </si>
  <si>
    <t xml:space="preserve">Añade una fila nueva con la fecha y copia los valores del Dashboard. Los campos en azul son inputs manuales.</t>
  </si>
  <si>
    <t xml:space="preserve">Fecha</t>
  </si>
  <si>
    <t xml:space="preserve">Valor Cartera (€)</t>
  </si>
  <si>
    <t xml:space="preserve">Capital Invertido (€)</t>
  </si>
  <si>
    <t xml:space="preserve">G/P Total (€)</t>
  </si>
  <si>
    <t xml:space="preserve">Peso RF %</t>
  </si>
  <si>
    <t xml:space="preserve">Peso RV %</t>
  </si>
  <si>
    <t xml:space="preserve">Peso Cripto %</t>
  </si>
  <si>
    <t xml:space="preserve">Sharpe</t>
  </si>
  <si>
    <t xml:space="preserve">Notas</t>
  </si>
  <si>
    <t xml:space="preserve">Inicio seguimiento</t>
  </si>
  <si>
    <t xml:space="preserve">  📌  Instrucciones: Cada vez que actualices los precios en 📋 ACTIVOS, copia los valores calculados del 📊 DASHBOARD en una nueva fila aquí con la fecha.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</si>
</sst>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0.00%"/>
    <numFmt numFmtId="166" formatCode="@"/>
    <numFmt numFmtId="167" formatCode="0"/>
    <numFmt numFmtId="168" formatCode="0.000%"/>
    <numFmt numFmtId="169" formatCode="0.00"/>
    <numFmt numFmtId="170" formatCode="0.0%"/>
    <numFmt numFmtId="171" formatCode="\+0.0%;\-0.0%;\-"/>
    <numFmt numFmtId="172" formatCode="\€#,##0.00"/>
    <numFmt numFmtId="173" formatCode="#,##0.000"/>
    <numFmt numFmtId="174" formatCode="\€#,##0.00000"/>
    <numFmt numFmtId="175" formatCode="\€#,##0.00;&quot;(€&quot;#,##0.00\);\-"/>
    <numFmt numFmtId="176" formatCode="\+0.00%;\-0.00%;\-"/>
    <numFmt numFmtId="177" formatCode="\€#,##0;&quot;(€&quot;#,##0\)"/>
    <numFmt numFmtId="178" formatCode="&quot;▲ €&quot;#,##0;&quot;(▼ €&quot;#,##0\)"/>
    <numFmt numFmtId="179" formatCode="\+0.00%;\-0.00%"/>
    <numFmt numFmtId="180" formatCode="0.00\x"/>
    <numFmt numFmtId="181" formatCode="\€#,##0"/>
    <numFmt numFmtId="182" formatCode="\+0.0%;\-0.0%"/>
    <numFmt numFmtId="183" formatCode="0%"/>
    <numFmt numFmtId="184" formatCode="0.0"/>
    <numFmt numFmtId="185" formatCode="\+0.0;\-0.0"/>
    <numFmt numFmtId="186" formatCode="\+0.0%"/>
    <numFmt numFmtId="187" formatCode="dd/mm/yyyy"/>
    <numFmt numFmtId="188" formatCode="\€#,##0.00;&quot;(€&quot;#,##0.00\)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E5A0"/>
      <name val="Arial"/>
      <family val="0"/>
      <charset val="1"/>
    </font>
    <font>
      <i val="true"/>
      <sz val="9"/>
      <color rgb="FF6B7A8D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13"/>
      <color rgb="FF00E5A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9"/>
      <color rgb="FF00E5A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4A9EFF"/>
      <name val="Arial"/>
      <family val="0"/>
      <charset val="1"/>
    </font>
    <font>
      <b val="true"/>
      <sz val="9"/>
      <color rgb="FFF5C51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17"/>
      <color rgb="FF111111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color rgb="FF111111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sz val="9"/>
      <color rgb="FF1111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555555"/>
      <name val="Arial"/>
      <family val="0"/>
      <charset val="1"/>
    </font>
  </fonts>
  <fills count="41">
    <fill>
      <patternFill patternType="none"/>
    </fill>
    <fill>
      <patternFill patternType="gray125"/>
    </fill>
    <fill>
      <patternFill patternType="solid">
        <fgColor rgb="FF0A0C0F"/>
        <bgColor rgb="FF111111"/>
      </patternFill>
    </fill>
    <fill>
      <patternFill patternType="solid">
        <fgColor rgb="FF111419"/>
        <bgColor rgb="FF12121E"/>
      </patternFill>
    </fill>
    <fill>
      <patternFill patternType="solid">
        <fgColor rgb="FF00E5A0"/>
        <bgColor rgb="FF00C47A"/>
      </patternFill>
    </fill>
    <fill>
      <patternFill patternType="solid">
        <fgColor rgb="FFF5F5F5"/>
        <bgColor rgb="FFF8F8F8"/>
      </patternFill>
    </fill>
    <fill>
      <patternFill patternType="solid">
        <fgColor rgb="FFEBF3FF"/>
        <bgColor rgb="FFEEF2F7"/>
      </patternFill>
    </fill>
    <fill>
      <patternFill patternType="solid">
        <fgColor rgb="FFF0F0F0"/>
        <bgColor rgb="FFEEF2F7"/>
      </patternFill>
    </fill>
    <fill>
      <patternFill patternType="solid">
        <fgColor rgb="FFEFF8FF"/>
        <bgColor rgb="FFF0F7FF"/>
      </patternFill>
    </fill>
    <fill>
      <patternFill patternType="solid">
        <fgColor rgb="FFFFFFFF"/>
        <bgColor rgb="FFFFFEF4"/>
      </patternFill>
    </fill>
    <fill>
      <patternFill patternType="solid">
        <fgColor rgb="FFD9D9D9"/>
        <bgColor rgb="FFE0E0E0"/>
      </patternFill>
    </fill>
    <fill>
      <patternFill patternType="solid">
        <fgColor rgb="FFE8FFF4"/>
        <bgColor rgb="FFF0FFF4"/>
      </patternFill>
    </fill>
    <fill>
      <patternFill patternType="solid">
        <fgColor rgb="FFFFFBE8"/>
        <bgColor rgb="FFFFFDE7"/>
      </patternFill>
    </fill>
    <fill>
      <patternFill patternType="solid">
        <fgColor rgb="FFD0D0D0"/>
        <bgColor rgb="FFD9D9D9"/>
      </patternFill>
    </fill>
    <fill>
      <patternFill patternType="solid">
        <fgColor rgb="FFFAFAFA"/>
        <bgColor rgb="FFF9F9F9"/>
      </patternFill>
    </fill>
    <fill>
      <patternFill patternType="solid">
        <fgColor rgb="FFFFFACD"/>
        <bgColor rgb="FFFFFDE7"/>
      </patternFill>
    </fill>
    <fill>
      <patternFill patternType="solid">
        <fgColor rgb="FFF4FFF9"/>
        <bgColor rgb="FFF0FFF4"/>
      </patternFill>
    </fill>
    <fill>
      <patternFill patternType="solid">
        <fgColor rgb="FFF0F7FF"/>
        <bgColor rgb="FFEFF8FF"/>
      </patternFill>
    </fill>
    <fill>
      <patternFill patternType="solid">
        <fgColor rgb="FFFFFEF4"/>
        <bgColor rgb="FFFFFFF0"/>
      </patternFill>
    </fill>
    <fill>
      <patternFill patternType="solid">
        <fgColor rgb="FFF5C518"/>
        <bgColor rgb="FFFAD7A0"/>
      </patternFill>
    </fill>
    <fill>
      <patternFill patternType="solid">
        <fgColor rgb="FFF8F9FA"/>
        <bgColor rgb="FFF9F9F9"/>
      </patternFill>
    </fill>
    <fill>
      <patternFill patternType="solid">
        <fgColor rgb="FFEEF2F7"/>
        <bgColor rgb="FFF0F0F0"/>
      </patternFill>
    </fill>
    <fill>
      <patternFill patternType="solid">
        <fgColor rgb="FF00C47A"/>
        <bgColor rgb="FF00E5A0"/>
      </patternFill>
    </fill>
    <fill>
      <patternFill patternType="solid">
        <fgColor rgb="FFFF6B35"/>
        <bgColor rgb="FFF5C518"/>
      </patternFill>
    </fill>
    <fill>
      <patternFill patternType="solid">
        <fgColor rgb="FFE0E0E0"/>
        <bgColor rgb="FFD9D9D9"/>
      </patternFill>
    </fill>
    <fill>
      <patternFill patternType="solid">
        <fgColor rgb="FFC8E6FF"/>
        <bgColor rgb="FFD4E6F1"/>
      </patternFill>
    </fill>
    <fill>
      <patternFill patternType="solid">
        <fgColor rgb="FFDDEEFF"/>
        <bgColor rgb="FFEBF3FF"/>
      </patternFill>
    </fill>
    <fill>
      <patternFill patternType="solid">
        <fgColor rgb="FF1A1A2E"/>
        <bgColor rgb="FF1A1A1A"/>
      </patternFill>
    </fill>
    <fill>
      <patternFill patternType="solid">
        <fgColor rgb="FF12121E"/>
        <bgColor rgb="FF111419"/>
      </patternFill>
    </fill>
    <fill>
      <patternFill patternType="solid">
        <fgColor rgb="FF1E1025"/>
        <bgColor rgb="FF12121E"/>
      </patternFill>
    </fill>
    <fill>
      <patternFill patternType="solid">
        <fgColor rgb="FFD4E6F1"/>
        <bgColor rgb="FFC8E6FF"/>
      </patternFill>
    </fill>
    <fill>
      <patternFill patternType="solid">
        <fgColor rgb="FFABEBC6"/>
        <bgColor rgb="FFC8E6FF"/>
      </patternFill>
    </fill>
    <fill>
      <patternFill patternType="solid">
        <fgColor rgb="FFFFF0F0"/>
        <bgColor rgb="FFF5F5F5"/>
      </patternFill>
    </fill>
    <fill>
      <patternFill patternType="solid">
        <fgColor rgb="FFFFFDE7"/>
        <bgColor rgb="FFFFFBE8"/>
      </patternFill>
    </fill>
    <fill>
      <patternFill patternType="solid">
        <fgColor rgb="FFF0FFF4"/>
        <bgColor rgb="FFF4FFF9"/>
      </patternFill>
    </fill>
    <fill>
      <patternFill patternType="solid">
        <fgColor rgb="FFFAD7A0"/>
        <bgColor rgb="FFFFE5E5"/>
      </patternFill>
    </fill>
    <fill>
      <patternFill patternType="solid">
        <fgColor rgb="FFFFE5E5"/>
        <bgColor rgb="FFFFF0F0"/>
      </patternFill>
    </fill>
    <fill>
      <patternFill patternType="solid">
        <fgColor rgb="FF0D1B2A"/>
        <bgColor rgb="FF081322"/>
      </patternFill>
    </fill>
    <fill>
      <patternFill patternType="solid">
        <fgColor rgb="FF081322"/>
        <bgColor rgb="FF12121E"/>
      </patternFill>
    </fill>
    <fill>
      <patternFill patternType="solid">
        <fgColor rgb="FFFFFFF0"/>
        <bgColor rgb="FFFFFEF4"/>
      </patternFill>
    </fill>
    <fill>
      <patternFill patternType="solid">
        <fgColor rgb="FFF8F8F8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E2430"/>
      </left>
      <right style="thin">
        <color rgb="FF1E2430"/>
      </right>
      <top style="thin">
        <color rgb="FF1E2430"/>
      </top>
      <bottom style="thin">
        <color rgb="FF1E2430"/>
      </bottom>
      <diagonal/>
    </border>
    <border diagonalUp="false" diagonalDown="false">
      <left/>
      <right/>
      <top/>
      <bottom style="thin">
        <color rgb="FF1E2430"/>
      </bottom>
      <diagonal/>
    </border>
    <border diagonalUp="false" diagonalDown="false">
      <left style="thin">
        <color rgb="FF1E2430"/>
      </left>
      <right/>
      <top style="thin">
        <color rgb="FF1E2430"/>
      </top>
      <bottom style="thin">
        <color rgb="FF1E243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0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0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0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9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0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2" fontId="27" fillId="9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7" fontId="27" fillId="9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8" fontId="28" fillId="21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9" fontId="28" fillId="21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28" fillId="21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2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3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9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80" fontId="27" fillId="9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9" fillId="4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0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0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1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0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1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1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0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6" fillId="27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7" fillId="28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6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1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0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1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0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1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0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6" fillId="29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9" fillId="3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0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2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2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4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31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0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3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0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0" fillId="3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20" fillId="3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0" fillId="3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20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20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0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0" fillId="3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20" fillId="3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0" fillId="3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0" fillId="3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20" fillId="3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0" fillId="3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20" fillId="3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20" fillId="3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0" fillId="3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37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7" fillId="38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6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4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8" fontId="4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4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3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4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FEF4"/>
      <rgbColor rgb="FFF0FFF4"/>
      <rgbColor rgb="FF0000FF"/>
      <rgbColor rgb="FFFFFBE8"/>
      <rgbColor rgb="FFF9F9F9"/>
      <rgbColor rgb="FFEBF3FF"/>
      <rgbColor rgb="FF111111"/>
      <rgbColor rgb="FF008000"/>
      <rgbColor rgb="FF081322"/>
      <rgbColor rgb="FF777777"/>
      <rgbColor rgb="FF0A0C0F"/>
      <rgbColor rgb="FFEFF8FF"/>
      <rgbColor rgb="FFAAAAAA"/>
      <rgbColor rgb="FF878787"/>
      <rgbColor rgb="FF4A9EFF"/>
      <rgbColor rgb="FF555555"/>
      <rgbColor rgb="FFFFFACD"/>
      <rgbColor rgb="FFE8FFF4"/>
      <rgbColor rgb="FF12121E"/>
      <rgbColor rgb="FFFFF0F0"/>
      <rgbColor rgb="FFF8F8F8"/>
      <rgbColor rgb="FFD0D0D0"/>
      <rgbColor rgb="FF1E1025"/>
      <rgbColor rgb="FFFAFAFA"/>
      <rgbColor rgb="FFFFE5E5"/>
      <rgbColor rgb="FFEEF2F7"/>
      <rgbColor rgb="FFF4FFF9"/>
      <rgbColor rgb="FF111419"/>
      <rgbColor rgb="FFF0F7FF"/>
      <rgbColor rgb="FFFFFFF0"/>
      <rgbColor rgb="FF00E5A0"/>
      <rgbColor rgb="FFDDEEFF"/>
      <rgbColor rgb="FFD4E6F1"/>
      <rgbColor rgb="FFFFFDE7"/>
      <rgbColor rgb="FFABEBC6"/>
      <rgbColor rgb="FFE0E0E0"/>
      <rgbColor rgb="FFD9D9D9"/>
      <rgbColor rgb="FFFAD7A0"/>
      <rgbColor rgb="FF4F81BD"/>
      <rgbColor rgb="FF00C47A"/>
      <rgbColor rgb="FFC8E6FF"/>
      <rgbColor rgb="FFF5C518"/>
      <rgbColor rgb="FFF0F0F0"/>
      <rgbColor rgb="FFFF6B35"/>
      <rgbColor rgb="FF6B7A8D"/>
      <rgbColor rgb="FF888888"/>
      <rgbColor rgb="FF1A1A2E"/>
      <rgbColor rgb="FF666666"/>
      <rgbColor rgb="FF0D1B2A"/>
      <rgbColor rgb="FF1A1A1A"/>
      <rgbColor rgb="FFF8F9FA"/>
      <rgbColor rgb="FFF5F5F5"/>
      <rgbColor rgb="FF444444"/>
      <rgbColor rgb="FF1E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 la Cartera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'📊 DASHBOARD'!$B$19:$B$21</c:f>
              <c:strCache>
                <c:ptCount val="3"/>
                <c:pt idx="0">
                  <c:v>🟢 Renta Fija</c:v>
                </c:pt>
                <c:pt idx="1">
                  <c:v>🔵 Renta Variable</c:v>
                </c:pt>
                <c:pt idx="2">
                  <c:v>🟡 Criptomonedas</c:v>
                </c:pt>
              </c:strCache>
            </c:strRef>
          </c:cat>
          <c:val>
            <c:numRef>
              <c:f>'📊 DASHBOARD'!$D$19:$D$21</c:f>
              <c:numCache>
                <c:formatCode>\€#,##0</c:formatCode>
                <c:ptCount val="3"/>
                <c:pt idx="0">
                  <c:v>122503.972366</c:v>
                </c:pt>
                <c:pt idx="1">
                  <c:v>36493.32846555</c:v>
                </c:pt>
                <c:pt idx="2">
                  <c:v>1870.73901936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Rentabilidad Total por Activo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'📋 ACTIVOS'!J4</c:f>
              <c:strCache>
                <c:ptCount val="1"/>
                <c:pt idx="0">
                  <c:v>Rent. Total %</c:v>
                </c:pt>
              </c:strCache>
            </c:strRef>
          </c:tx>
          <c:spPr>
            <a:solidFill>
              <a:srgbClr val="4a9e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'📋 ACTIVOS'!$C$5:$C$29</c:f>
              <c:strCache>
                <c:ptCount val="25"/>
                <c:pt idx="0">
                  <c:v>GVC RF Horizonte</c:v>
                </c:pt>
                <c:pt idx="1">
                  <c:v>GVC RF Flexible CONJUNTA</c:v>
                </c:pt>
                <c:pt idx="2">
                  <c:v>GVC RF Flexible</c:v>
                </c:pt>
                <c:pt idx="3">
                  <c:v>GVC Constantfons FI</c:v>
                </c:pt>
                <c:pt idx="4">
                  <c:v>Pictet China Index</c:v>
                </c:pt>
                <c:pt idx="5">
                  <c:v>GVC Zebra US Small Caps</c:v>
                </c:pt>
                <c:pt idx="6">
                  <c:v>GVC Value Minu A</c:v>
                </c:pt>
                <c:pt idx="7">
                  <c:v>GVC VIF Clase A FI</c:v>
                </c:pt>
                <c:pt idx="8">
                  <c:v>GVC Small Caps A FI</c:v>
                </c:pt>
                <c:pt idx="9">
                  <c:v>GVC Japón CONJUNTA</c:v>
                </c:pt>
                <c:pt idx="10">
                  <c:v>GVC Japón A FI</c:v>
                </c:pt>
                <c:pt idx="11">
                  <c:v>GVC Global Equity DS A</c:v>
                </c:pt>
                <c:pt idx="12">
                  <c:v>GVC Emergentfond FI</c:v>
                </c:pt>
                <c:pt idx="13">
                  <c:v>GVC 300 Places CONJUNTA</c:v>
                </c:pt>
                <c:pt idx="14">
                  <c:v>GVC 300 Places Worldwide</c:v>
                </c:pt>
                <c:pt idx="15">
                  <c:v>Fidelity S&amp;P 500 Index</c:v>
                </c:pt>
                <c:pt idx="16">
                  <c:v>Fidelity MSCI World</c:v>
                </c:pt>
                <c:pt idx="17">
                  <c:v>XRP</c:v>
                </c:pt>
                <c:pt idx="18">
                  <c:v>Sui</c:v>
                </c:pt>
                <c:pt idx="19">
                  <c:v>Solana</c:v>
                </c:pt>
                <c:pt idx="20">
                  <c:v>Pump.fun</c:v>
                </c:pt>
                <c:pt idx="21">
                  <c:v>Pudgy Penguins</c:v>
                </c:pt>
                <c:pt idx="22">
                  <c:v>Linea</c:v>
                </c:pt>
                <c:pt idx="23">
                  <c:v>Kaspa</c:v>
                </c:pt>
                <c:pt idx="24">
                  <c:v>Bitcoin</c:v>
                </c:pt>
              </c:strCache>
            </c:strRef>
          </c:cat>
          <c:val>
            <c:numRef>
              <c:f>'📋 ACTIVOS'!$J$5:$J$29</c:f>
              <c:numCache>
                <c:formatCode>\+0.00%;\-0.00%;\-</c:formatCode>
                <c:ptCount val="25"/>
                <c:pt idx="0">
                  <c:v>0.151408872901679</c:v>
                </c:pt>
                <c:pt idx="1">
                  <c:v>0.0212115732368897</c:v>
                </c:pt>
                <c:pt idx="2">
                  <c:v>0.0839347408829174</c:v>
                </c:pt>
                <c:pt idx="3">
                  <c:v>0.031257928118393</c:v>
                </c:pt>
                <c:pt idx="4">
                  <c:v>-0.00263870564544117</c:v>
                </c:pt>
                <c:pt idx="5">
                  <c:v>0.0880000000000001</c:v>
                </c:pt>
                <c:pt idx="6">
                  <c:v>0.127892459826947</c:v>
                </c:pt>
                <c:pt idx="7">
                  <c:v>0.0384837962962962</c:v>
                </c:pt>
                <c:pt idx="8">
                  <c:v>0.0703254626675176</c:v>
                </c:pt>
                <c:pt idx="9">
                  <c:v>0.162413528055342</c:v>
                </c:pt>
                <c:pt idx="10">
                  <c:v>0.234530612244898</c:v>
                </c:pt>
                <c:pt idx="11">
                  <c:v>0.149092088197147</c:v>
                </c:pt>
                <c:pt idx="12">
                  <c:v>0.117222361494109</c:v>
                </c:pt>
                <c:pt idx="13">
                  <c:v>0.0915236875800258</c:v>
                </c:pt>
                <c:pt idx="14">
                  <c:v>0.28579185520362</c:v>
                </c:pt>
                <c:pt idx="15">
                  <c:v>0.0635481481481483</c:v>
                </c:pt>
                <c:pt idx="16">
                  <c:v>0.0851585261353898</c:v>
                </c:pt>
                <c:pt idx="17">
                  <c:v>-0.345900943396226</c:v>
                </c:pt>
                <c:pt idx="18">
                  <c:v>-0.653101886792453</c:v>
                </c:pt>
                <c:pt idx="19">
                  <c:v>-0.511938903863432</c:v>
                </c:pt>
                <c:pt idx="20">
                  <c:v>-0.799</c:v>
                </c:pt>
                <c:pt idx="21">
                  <c:v>-0.782333333333333</c:v>
                </c:pt>
                <c:pt idx="22">
                  <c:v>-0.661</c:v>
                </c:pt>
                <c:pt idx="23">
                  <c:v>-0.568857142857143</c:v>
                </c:pt>
                <c:pt idx="24">
                  <c:v>-0.384477243567137</c:v>
                </c:pt>
              </c:numCache>
            </c:numRef>
          </c:val>
        </c:ser>
        <c:gapWidth val="150"/>
        <c:overlap val="0"/>
        <c:axId val="58147010"/>
        <c:axId val="31141103"/>
      </c:barChart>
      <c:catAx>
        <c:axId val="5814701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Activo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41103"/>
        <c:crosses val="autoZero"/>
        <c:auto val="1"/>
        <c:lblAlgn val="ctr"/>
        <c:lblOffset val="100"/>
        <c:noMultiLvlLbl val="0"/>
      </c:catAx>
      <c:valAx>
        <c:axId val="31141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Rentabilidad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470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Perfil Riesgo-Retorno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47474823"/>
        <c:axId val="52379630"/>
      </c:barChart>
      <c:catAx>
        <c:axId val="47474823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52379630"/>
        <c:auto val="1"/>
        <c:lblAlgn val="ctr"/>
        <c:lblOffset val="100"/>
        <c:noMultiLvlLbl val="0"/>
      </c:catAx>
      <c:valAx>
        <c:axId val="52379630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47474823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0</xdr:rowOff>
    </xdr:from>
    <xdr:to>
      <xdr:col>6</xdr:col>
      <xdr:colOff>880200</xdr:colOff>
      <xdr:row>50</xdr:row>
      <xdr:rowOff>169920</xdr:rowOff>
    </xdr:to>
    <xdr:graphicFrame>
      <xdr:nvGraphicFramePr>
        <xdr:cNvPr id="0" name="Chart 1"/>
        <xdr:cNvGraphicFramePr/>
      </xdr:nvGraphicFramePr>
      <xdr:xfrm>
        <a:off x="0" y="7448400"/>
        <a:ext cx="503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14</xdr:col>
      <xdr:colOff>291240</xdr:colOff>
      <xdr:row>58</xdr:row>
      <xdr:rowOff>85680</xdr:rowOff>
    </xdr:to>
    <xdr:graphicFrame>
      <xdr:nvGraphicFramePr>
        <xdr:cNvPr id="1" name="Chart 2"/>
        <xdr:cNvGraphicFramePr/>
      </xdr:nvGraphicFramePr>
      <xdr:xfrm>
        <a:off x="3947040" y="7448400"/>
        <a:ext cx="719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6</xdr:col>
      <xdr:colOff>880200</xdr:colOff>
      <xdr:row>68</xdr:row>
      <xdr:rowOff>169920</xdr:rowOff>
    </xdr:to>
    <xdr:graphicFrame>
      <xdr:nvGraphicFramePr>
        <xdr:cNvPr id="2" name="Chart 3"/>
        <xdr:cNvGraphicFramePr/>
      </xdr:nvGraphicFramePr>
      <xdr:xfrm>
        <a:off x="0" y="10877400"/>
        <a:ext cx="503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5" min="4" style="1" width="18"/>
    <col collapsed="false" customWidth="true" hidden="false" outlineLevel="0" max="6" min="6" style="1" width="28"/>
    <col collapsed="false" customWidth="true" hidden="false" outlineLevel="0" max="7" min="7" style="1" width="18"/>
    <col collapsed="false" customWidth="true" hidden="false" outlineLevel="0" max="8" min="8" style="1" width="3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19.5" hidden="false" customHeight="true" outlineLevel="0" collapsed="false">
      <c r="A4" s="4" t="s">
        <v>2</v>
      </c>
      <c r="B4" s="4"/>
      <c r="C4" s="4"/>
      <c r="D4" s="4"/>
      <c r="E4" s="4" t="s">
        <v>3</v>
      </c>
      <c r="F4" s="4"/>
      <c r="G4" s="4"/>
      <c r="H4" s="4"/>
    </row>
    <row r="5" customFormat="false" ht="19.5" hidden="false" customHeight="true" outlineLevel="0" collapsed="false">
      <c r="A5" s="5" t="s">
        <v>4</v>
      </c>
      <c r="B5" s="6" t="n">
        <v>0.02</v>
      </c>
      <c r="C5" s="7" t="s">
        <v>5</v>
      </c>
      <c r="D5" s="8"/>
      <c r="E5" s="9" t="s">
        <v>6</v>
      </c>
      <c r="F5" s="10" t="s">
        <v>7</v>
      </c>
      <c r="G5" s="11" t="s">
        <v>8</v>
      </c>
      <c r="H5" s="8"/>
    </row>
    <row r="6" customFormat="false" ht="19.5" hidden="false" customHeight="true" outlineLevel="0" collapsed="false">
      <c r="A6" s="12" t="s">
        <v>9</v>
      </c>
      <c r="B6" s="6" t="n">
        <v>0.055</v>
      </c>
      <c r="C6" s="13" t="s">
        <v>10</v>
      </c>
      <c r="D6" s="8"/>
      <c r="E6" s="12" t="s">
        <v>11</v>
      </c>
      <c r="F6" s="14" t="n">
        <v>10</v>
      </c>
      <c r="G6" s="13" t="s">
        <v>12</v>
      </c>
      <c r="H6" s="8"/>
    </row>
    <row r="7" customFormat="false" ht="19.5" hidden="false" customHeight="true" outlineLevel="0" collapsed="false">
      <c r="A7" s="5" t="s">
        <v>13</v>
      </c>
      <c r="B7" s="6" t="n">
        <v>0.028</v>
      </c>
      <c r="C7" s="7" t="s">
        <v>14</v>
      </c>
      <c r="D7" s="8"/>
      <c r="E7" s="9" t="s">
        <v>15</v>
      </c>
      <c r="F7" s="10" t="s">
        <v>16</v>
      </c>
      <c r="G7" s="11" t="s">
        <v>17</v>
      </c>
      <c r="H7" s="8"/>
    </row>
    <row r="8" customFormat="false" ht="19.5" hidden="false" customHeight="true" outlineLevel="0" collapsed="false">
      <c r="A8" s="12" t="s">
        <v>18</v>
      </c>
      <c r="B8" s="6" t="n">
        <v>0.19</v>
      </c>
      <c r="C8" s="13" t="s">
        <v>19</v>
      </c>
      <c r="D8" s="8"/>
      <c r="E8" s="12" t="s">
        <v>20</v>
      </c>
      <c r="F8" s="10" t="s">
        <v>21</v>
      </c>
      <c r="G8" s="13" t="s">
        <v>22</v>
      </c>
      <c r="H8" s="8"/>
    </row>
    <row r="9" customFormat="false" ht="19.5" hidden="false" customHeight="true" outlineLevel="0" collapsed="false">
      <c r="A9" s="5" t="s">
        <v>23</v>
      </c>
      <c r="B9" s="15" t="n">
        <v>0.005</v>
      </c>
      <c r="C9" s="7" t="s">
        <v>24</v>
      </c>
      <c r="D9" s="8"/>
      <c r="E9" s="9" t="s">
        <v>25</v>
      </c>
      <c r="F9" s="10" t="s">
        <v>26</v>
      </c>
      <c r="G9" s="11" t="s">
        <v>27</v>
      </c>
      <c r="H9" s="8"/>
    </row>
    <row r="10" customFormat="false" ht="19.5" hidden="false" customHeight="true" outlineLevel="0" collapsed="false">
      <c r="A10" s="12" t="s">
        <v>28</v>
      </c>
      <c r="B10" s="15" t="n">
        <v>0.015</v>
      </c>
      <c r="C10" s="13" t="s">
        <v>29</v>
      </c>
      <c r="D10" s="8"/>
      <c r="E10" s="12" t="s">
        <v>30</v>
      </c>
      <c r="F10" s="10" t="s">
        <v>31</v>
      </c>
      <c r="G10" s="13" t="s">
        <v>32</v>
      </c>
      <c r="H10" s="8"/>
    </row>
    <row r="11" customFormat="false" ht="19.5" hidden="false" customHeight="true" outlineLevel="0" collapsed="false">
      <c r="A11" s="5" t="s">
        <v>33</v>
      </c>
      <c r="B11" s="15" t="n">
        <v>0.001</v>
      </c>
      <c r="C11" s="7" t="s">
        <v>34</v>
      </c>
      <c r="D11" s="8"/>
    </row>
    <row r="12" customFormat="false" ht="19.5" hidden="false" customHeight="true" outlineLevel="0" collapsed="false">
      <c r="A12" s="12" t="s">
        <v>35</v>
      </c>
      <c r="B12" s="6" t="n">
        <v>0.08</v>
      </c>
      <c r="C12" s="13" t="s">
        <v>36</v>
      </c>
      <c r="D12" s="8"/>
    </row>
    <row r="13" customFormat="false" ht="19.5" hidden="false" customHeight="true" outlineLevel="0" collapsed="false">
      <c r="A13" s="5" t="s">
        <v>37</v>
      </c>
      <c r="B13" s="6" t="n">
        <v>0.12</v>
      </c>
      <c r="C13" s="7" t="s">
        <v>38</v>
      </c>
      <c r="D13" s="8"/>
    </row>
    <row r="14" customFormat="false" ht="19.5" hidden="false" customHeight="true" outlineLevel="0" collapsed="false">
      <c r="A14" s="12" t="s">
        <v>39</v>
      </c>
      <c r="B14" s="16" t="n">
        <v>0.8</v>
      </c>
      <c r="C14" s="13" t="s">
        <v>40</v>
      </c>
      <c r="D14" s="8"/>
    </row>
    <row r="15" customFormat="false" ht="7.5" hidden="false" customHeight="true" outlineLevel="0" collapsed="false"/>
    <row r="16" customFormat="false" ht="19.5" hidden="false" customHeight="true" outlineLevel="0" collapsed="false">
      <c r="A16" s="4" t="s">
        <v>41</v>
      </c>
      <c r="B16" s="4"/>
      <c r="C16" s="4"/>
      <c r="D16" s="4"/>
      <c r="E16" s="4" t="s">
        <v>42</v>
      </c>
      <c r="F16" s="4"/>
      <c r="G16" s="4"/>
      <c r="H16" s="4"/>
    </row>
    <row r="17" customFormat="false" ht="19.5" hidden="false" customHeight="true" outlineLevel="0" collapsed="false">
      <c r="A17" s="17" t="s">
        <v>43</v>
      </c>
      <c r="B17" s="17" t="s">
        <v>44</v>
      </c>
      <c r="C17" s="17" t="s">
        <v>45</v>
      </c>
      <c r="D17" s="17" t="s">
        <v>46</v>
      </c>
      <c r="E17" s="17" t="s">
        <v>43</v>
      </c>
      <c r="F17" s="17" t="s">
        <v>47</v>
      </c>
      <c r="G17" s="17" t="s">
        <v>48</v>
      </c>
      <c r="H17" s="17" t="s">
        <v>49</v>
      </c>
    </row>
    <row r="18" customFormat="false" ht="21.75" hidden="false" customHeight="true" outlineLevel="0" collapsed="false">
      <c r="A18" s="18" t="s">
        <v>50</v>
      </c>
      <c r="B18" s="19" t="n">
        <v>0.65</v>
      </c>
      <c r="C18" s="20" t="n">
        <f aca="false">SUMIF('📋 ACTIVOS'!$B$4:$B$28,"RF",'📋 ACTIVOS'!$F$4:$F$28)/SUM('📋 ACTIVOS'!$F$4:$F$28)</f>
        <v>0.765185649109466</v>
      </c>
      <c r="D18" s="21" t="n">
        <f aca="false">C18-B18</f>
        <v>0.115185649109466</v>
      </c>
      <c r="E18" s="18" t="s">
        <v>50</v>
      </c>
      <c r="F18" s="19" t="n">
        <v>0.07</v>
      </c>
      <c r="G18" s="19" t="n">
        <v>0.04</v>
      </c>
      <c r="H18" s="22" t="n">
        <f aca="false">(F18-$B$5)/G18</f>
        <v>1.25</v>
      </c>
    </row>
    <row r="19" customFormat="false" ht="21.75" hidden="false" customHeight="true" outlineLevel="0" collapsed="false">
      <c r="A19" s="23" t="s">
        <v>51</v>
      </c>
      <c r="B19" s="19" t="n">
        <v>0.33</v>
      </c>
      <c r="C19" s="24" t="n">
        <f aca="false">SUMIF('📋 ACTIVOS'!$B$4:$B$28,"RV",'📋 ACTIVOS'!$F$4:$F$28)/SUM('📋 ACTIVOS'!$F$4:$F$28)</f>
        <v>0.217880108098395</v>
      </c>
      <c r="D19" s="25" t="n">
        <f aca="false">C19-B19</f>
        <v>-0.112119891901605</v>
      </c>
      <c r="E19" s="23" t="s">
        <v>51</v>
      </c>
      <c r="F19" s="19" t="n">
        <v>0.11</v>
      </c>
      <c r="G19" s="19" t="n">
        <v>0.15</v>
      </c>
      <c r="H19" s="26" t="n">
        <f aca="false">(F19-$B$5)/G19</f>
        <v>0.6</v>
      </c>
    </row>
    <row r="20" customFormat="false" ht="21.75" hidden="false" customHeight="true" outlineLevel="0" collapsed="false">
      <c r="A20" s="27" t="s">
        <v>52</v>
      </c>
      <c r="B20" s="19" t="n">
        <v>0.02</v>
      </c>
      <c r="C20" s="28" t="n">
        <f aca="false">SUMIF('📋 ACTIVOS'!$B$4:$B$28,"CR",'📋 ACTIVOS'!$F$4:$F$28)/SUM('📋 ACTIVOS'!$F$4:$F$28)</f>
        <v>0.0169342427921388</v>
      </c>
      <c r="D20" s="29" t="n">
        <f aca="false">C20-B20</f>
        <v>-0.00306575720786117</v>
      </c>
      <c r="E20" s="27" t="s">
        <v>52</v>
      </c>
      <c r="F20" s="19" t="n">
        <v>0.18</v>
      </c>
      <c r="G20" s="19" t="n">
        <v>0.65</v>
      </c>
      <c r="H20" s="30" t="n">
        <f aca="false">(F20-$B$5)/G20</f>
        <v>0.246153846153846</v>
      </c>
    </row>
    <row r="21" customFormat="false" ht="21.75" hidden="false" customHeight="true" outlineLevel="0" collapsed="false">
      <c r="A21" s="31" t="s">
        <v>53</v>
      </c>
      <c r="B21" s="32" t="n">
        <f aca="false">SUM(B18:B20)</f>
        <v>1</v>
      </c>
      <c r="C21" s="32" t="n">
        <f aca="false">SUM(C18:C20)</f>
        <v>1</v>
      </c>
      <c r="D21" s="33" t="n">
        <f aca="false">SUM(D18:D20)</f>
        <v>5.89805981832114E-017</v>
      </c>
    </row>
    <row r="22" customFormat="false" ht="7.5" hidden="false" customHeight="true" outlineLevel="0" collapsed="false"/>
    <row r="23" customFormat="false" ht="19.5" hidden="false" customHeight="true" outlineLevel="0" collapsed="false">
      <c r="A23" s="4" t="s">
        <v>54</v>
      </c>
      <c r="B23" s="4"/>
      <c r="C23" s="4"/>
      <c r="D23" s="4"/>
      <c r="E23" s="4"/>
      <c r="F23" s="4"/>
      <c r="G23" s="4"/>
      <c r="H23" s="4"/>
    </row>
    <row r="24" customFormat="false" ht="19.5" hidden="false" customHeight="true" outlineLevel="0" collapsed="false">
      <c r="A24" s="17" t="s">
        <v>55</v>
      </c>
      <c r="B24" s="17" t="s">
        <v>56</v>
      </c>
      <c r="C24" s="17" t="s">
        <v>57</v>
      </c>
      <c r="D24" s="17"/>
      <c r="E24" s="17" t="s">
        <v>55</v>
      </c>
      <c r="F24" s="17" t="s">
        <v>56</v>
      </c>
      <c r="G24" s="17" t="s">
        <v>57</v>
      </c>
      <c r="H24" s="17"/>
    </row>
    <row r="25" customFormat="false" ht="19.5" hidden="false" customHeight="true" outlineLevel="0" collapsed="false">
      <c r="A25" s="34" t="s">
        <v>58</v>
      </c>
      <c r="B25" s="35" t="n">
        <f aca="false">B18*F18+B19*F19+B20*F20</f>
        <v>0.0854</v>
      </c>
      <c r="C25" s="36" t="s">
        <v>59</v>
      </c>
      <c r="D25" s="8"/>
    </row>
    <row r="26" customFormat="false" ht="19.5" hidden="false" customHeight="true" outlineLevel="0" collapsed="false">
      <c r="A26" s="37" t="s">
        <v>60</v>
      </c>
      <c r="B26" s="38" t="n">
        <f aca="false">SQRT(B18^2*G18^2+B19^2*G19^2+B20^2*G20^2)</f>
        <v>0.0574042681339985</v>
      </c>
      <c r="C26" s="39" t="s">
        <v>61</v>
      </c>
      <c r="D26" s="8"/>
    </row>
    <row r="27" customFormat="false" ht="19.5" hidden="false" customHeight="true" outlineLevel="0" collapsed="false">
      <c r="A27" s="34" t="s">
        <v>62</v>
      </c>
      <c r="B27" s="40" t="n">
        <f aca="false">(B25-'⚙️ INPUTS'!B5)/B26</f>
        <v>1.13928810741628</v>
      </c>
      <c r="C27" s="36" t="s">
        <v>63</v>
      </c>
      <c r="D27" s="8"/>
    </row>
    <row r="28" customFormat="false" ht="19.5" hidden="false" customHeight="true" outlineLevel="0" collapsed="false">
      <c r="A28" s="37" t="s">
        <v>64</v>
      </c>
      <c r="B28" s="38" t="n">
        <f aca="false">(SUM('📋 ACTIVOS'!F4:F28)-SUM('📋 ACTIVOS'!E4:E28))/SUM('📋 ACTIVOS'!E4:E28)</f>
        <v>165.588508221226</v>
      </c>
      <c r="C28" s="39" t="s">
        <v>65</v>
      </c>
      <c r="D28" s="8"/>
    </row>
    <row r="29" customFormat="false" ht="19.5" hidden="false" customHeight="true" outlineLevel="0" collapsed="false">
      <c r="A29" s="34" t="s">
        <v>66</v>
      </c>
      <c r="B29" s="41" t="n">
        <f aca="false">SUM('📋 ACTIVOS'!E4:E28)</f>
        <v>883.08</v>
      </c>
      <c r="C29" s="36" t="s">
        <v>67</v>
      </c>
      <c r="D29" s="8"/>
    </row>
    <row r="30" customFormat="false" ht="19.5" hidden="false" customHeight="true" outlineLevel="0" collapsed="false">
      <c r="A30" s="37" t="s">
        <v>68</v>
      </c>
      <c r="B30" s="42" t="n">
        <f aca="false">SUM('📋 ACTIVOS'!F4:F28)</f>
        <v>147110.97984</v>
      </c>
      <c r="C30" s="39" t="s">
        <v>69</v>
      </c>
      <c r="D30" s="8"/>
    </row>
    <row r="31" customFormat="false" ht="19.5" hidden="false" customHeight="true" outlineLevel="0" collapsed="false">
      <c r="A31" s="34" t="s">
        <v>70</v>
      </c>
      <c r="B31" s="41" t="n">
        <f aca="false">B30-B29</f>
        <v>146227.89984</v>
      </c>
      <c r="C31" s="36" t="s">
        <v>71</v>
      </c>
      <c r="D31" s="8"/>
    </row>
    <row r="32" customFormat="false" ht="19.5" hidden="false" customHeight="true" outlineLevel="0" collapsed="false">
      <c r="A32" s="37" t="s">
        <v>72</v>
      </c>
      <c r="B32" s="38" t="n">
        <f aca="false">(1+B25)^'⚙️ INPUTS'!B6-1</f>
        <v>0.00451734462296183</v>
      </c>
      <c r="C32" s="39" t="s">
        <v>73</v>
      </c>
      <c r="D32" s="8"/>
    </row>
    <row r="34" customFormat="false" ht="7.5" hidden="false" customHeight="true" outlineLevel="0" collapsed="false"/>
    <row r="35" customFormat="false" ht="19.5" hidden="false" customHeight="true" outlineLevel="0" collapsed="false">
      <c r="A35" s="43" t="s">
        <v>74</v>
      </c>
      <c r="B35" s="43"/>
      <c r="C35" s="43"/>
      <c r="D35" s="43"/>
      <c r="E35" s="43"/>
      <c r="F35" s="43"/>
      <c r="G35" s="43"/>
      <c r="H35" s="43"/>
    </row>
  </sheetData>
  <mergeCells count="8">
    <mergeCell ref="A1:H1"/>
    <mergeCell ref="A2:H2"/>
    <mergeCell ref="A4:D4"/>
    <mergeCell ref="E4:H4"/>
    <mergeCell ref="A16:D16"/>
    <mergeCell ref="E16:H16"/>
    <mergeCell ref="A23:H23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7" min="5" style="1" width="14"/>
    <col collapsed="false" customWidth="true" hidden="false" outlineLevel="0" max="13" min="8" style="1" width="12"/>
    <col collapsed="false" customWidth="true" hidden="false" outlineLevel="0" max="14" min="14" style="1" width="16"/>
  </cols>
  <sheetData>
    <row r="1" customFormat="false" ht="33.75" hidden="false" customHeight="true" outlineLevel="0" collapsed="false">
      <c r="A1" s="44" t="s">
        <v>75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customFormat="false" ht="19.5" hidden="false" customHeight="true" outlineLevel="0" collapsed="false">
      <c r="A2" s="45" t="s">
        <v>76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customFormat="false" ht="6" hidden="false" customHeight="true" outlineLevel="0" collapsed="false"/>
    <row r="4" customFormat="false" ht="30" hidden="false" customHeight="true" outlineLevel="0" collapsed="false">
      <c r="A4" s="46" t="s">
        <v>77</v>
      </c>
      <c r="B4" s="46" t="s">
        <v>78</v>
      </c>
      <c r="C4" s="46" t="s">
        <v>79</v>
      </c>
      <c r="D4" s="46" t="s">
        <v>80</v>
      </c>
      <c r="E4" s="46" t="s">
        <v>81</v>
      </c>
      <c r="F4" s="46" t="s">
        <v>82</v>
      </c>
      <c r="G4" s="46" t="s">
        <v>83</v>
      </c>
      <c r="H4" s="46" t="s">
        <v>84</v>
      </c>
      <c r="I4" s="46" t="s">
        <v>85</v>
      </c>
      <c r="J4" s="46" t="s">
        <v>86</v>
      </c>
      <c r="K4" s="46" t="s">
        <v>87</v>
      </c>
      <c r="L4" s="46" t="s">
        <v>88</v>
      </c>
      <c r="M4" s="46" t="s">
        <v>89</v>
      </c>
      <c r="N4" s="46" t="s">
        <v>90</v>
      </c>
    </row>
    <row r="5" customFormat="false" ht="19.5" hidden="false" customHeight="true" outlineLevel="0" collapsed="false">
      <c r="A5" s="47" t="n">
        <v>1</v>
      </c>
      <c r="B5" s="48" t="s">
        <v>91</v>
      </c>
      <c r="C5" s="49" t="s">
        <v>92</v>
      </c>
      <c r="D5" s="50" t="n">
        <v>399.7</v>
      </c>
      <c r="E5" s="51" t="n">
        <v>100.08</v>
      </c>
      <c r="F5" s="52" t="n">
        <f aca="false">D5*E5</f>
        <v>40001.976</v>
      </c>
      <c r="G5" s="53" t="n">
        <v>115.233</v>
      </c>
      <c r="H5" s="52" t="n">
        <f aca="false">D5*G5</f>
        <v>46058.6301</v>
      </c>
      <c r="I5" s="54" t="n">
        <f aca="false">H5-F5</f>
        <v>6056.65410000001</v>
      </c>
      <c r="J5" s="55" t="n">
        <f aca="false">IFERROR((H5-F5)/F5,0)</f>
        <v>0.151408872901679</v>
      </c>
      <c r="K5" s="56" t="n">
        <v>0.0039</v>
      </c>
      <c r="L5" s="56" t="n">
        <v>0.0015</v>
      </c>
      <c r="M5" s="56" t="n">
        <v>0.1515</v>
      </c>
      <c r="N5" s="57" t="n">
        <f aca="false">IFERROR(H5/SUM($H$5:$H$29),0)</f>
        <v>0.28631311814756</v>
      </c>
    </row>
    <row r="6" customFormat="false" ht="19.5" hidden="false" customHeight="true" outlineLevel="0" collapsed="false">
      <c r="A6" s="58" t="n">
        <v>2</v>
      </c>
      <c r="B6" s="59" t="s">
        <v>91</v>
      </c>
      <c r="C6" s="60" t="s">
        <v>93</v>
      </c>
      <c r="D6" s="50" t="n">
        <v>2092.25</v>
      </c>
      <c r="E6" s="51" t="n">
        <v>11.06</v>
      </c>
      <c r="F6" s="61" t="n">
        <f aca="false">D6*E6</f>
        <v>23140.285</v>
      </c>
      <c r="G6" s="53" t="n">
        <v>11.2946</v>
      </c>
      <c r="H6" s="61" t="n">
        <f aca="false">D6*G6</f>
        <v>23631.12685</v>
      </c>
      <c r="I6" s="62" t="n">
        <f aca="false">H6-F6</f>
        <v>490.841850000001</v>
      </c>
      <c r="J6" s="63" t="n">
        <f aca="false">IFERROR((H6-F6)/F6,0)</f>
        <v>0.0212115732368897</v>
      </c>
      <c r="K6" s="56" t="n">
        <v>0.0092</v>
      </c>
      <c r="L6" s="56" t="n">
        <v>0.0033</v>
      </c>
      <c r="M6" s="56" t="n">
        <v>0.0195</v>
      </c>
      <c r="N6" s="64" t="n">
        <f aca="false">IFERROR(H6/SUM($H$5:$H$29),0)</f>
        <v>0.146897586816505</v>
      </c>
    </row>
    <row r="7" customFormat="false" ht="19.5" hidden="false" customHeight="true" outlineLevel="0" collapsed="false">
      <c r="A7" s="47" t="n">
        <v>3</v>
      </c>
      <c r="B7" s="48" t="s">
        <v>91</v>
      </c>
      <c r="C7" s="49" t="s">
        <v>94</v>
      </c>
      <c r="D7" s="50" t="n">
        <v>3360.12</v>
      </c>
      <c r="E7" s="51" t="n">
        <v>10.42</v>
      </c>
      <c r="F7" s="52" t="n">
        <f aca="false">D7*E7</f>
        <v>35012.4504</v>
      </c>
      <c r="G7" s="53" t="n">
        <v>11.2946</v>
      </c>
      <c r="H7" s="52" t="n">
        <f aca="false">D7*G7</f>
        <v>37951.211352</v>
      </c>
      <c r="I7" s="54" t="n">
        <f aca="false">H7-F7</f>
        <v>2938.760952</v>
      </c>
      <c r="J7" s="55" t="n">
        <f aca="false">IFERROR((H7-F7)/F7,0)</f>
        <v>0.0839347408829174</v>
      </c>
      <c r="K7" s="56" t="n">
        <v>0.0092</v>
      </c>
      <c r="L7" s="56" t="n">
        <v>0.0033</v>
      </c>
      <c r="M7" s="56" t="n">
        <v>0.0843</v>
      </c>
      <c r="N7" s="57" t="n">
        <f aca="false">IFERROR(H7/SUM($H$5:$H$29),0)</f>
        <v>0.235915172380869</v>
      </c>
    </row>
    <row r="8" customFormat="false" ht="19.5" hidden="false" customHeight="true" outlineLevel="0" collapsed="false">
      <c r="A8" s="58" t="n">
        <v>4</v>
      </c>
      <c r="B8" s="59" t="s">
        <v>91</v>
      </c>
      <c r="C8" s="60" t="s">
        <v>95</v>
      </c>
      <c r="D8" s="50" t="n">
        <v>1523.52</v>
      </c>
      <c r="E8" s="51" t="n">
        <v>9.46</v>
      </c>
      <c r="F8" s="61" t="n">
        <f aca="false">D8*E8</f>
        <v>14412.4992</v>
      </c>
      <c r="G8" s="53" t="n">
        <v>9.7557</v>
      </c>
      <c r="H8" s="61" t="n">
        <f aca="false">D8*G8</f>
        <v>14863.004064</v>
      </c>
      <c r="I8" s="62" t="n">
        <f aca="false">H8-F8</f>
        <v>450.504863999997</v>
      </c>
      <c r="J8" s="63" t="n">
        <f aca="false">IFERROR((H8-F8)/F8,0)</f>
        <v>0.031257928118393</v>
      </c>
      <c r="K8" s="56" t="n">
        <v>0.0026</v>
      </c>
      <c r="L8" s="56" t="n">
        <v>0.001</v>
      </c>
      <c r="M8" s="56" t="n">
        <v>0.0308</v>
      </c>
      <c r="N8" s="64" t="n">
        <f aca="false">IFERROR(H8/SUM($H$5:$H$29),0)</f>
        <v>0.0923925229509528</v>
      </c>
    </row>
    <row r="9" customFormat="false" ht="19.5" hidden="false" customHeight="true" outlineLevel="0" collapsed="false">
      <c r="A9" s="65" t="n">
        <v>5</v>
      </c>
      <c r="B9" s="66" t="s">
        <v>96</v>
      </c>
      <c r="C9" s="67" t="s">
        <v>97</v>
      </c>
      <c r="D9" s="50" t="n">
        <v>5.555</v>
      </c>
      <c r="E9" s="51" t="n">
        <v>144.01</v>
      </c>
      <c r="F9" s="68" t="n">
        <f aca="false">D9*E9</f>
        <v>799.97555</v>
      </c>
      <c r="G9" s="53" t="n">
        <v>143.63</v>
      </c>
      <c r="H9" s="68" t="n">
        <f aca="false">D9*G9</f>
        <v>797.86465</v>
      </c>
      <c r="I9" s="69" t="n">
        <f aca="false">H9-F9</f>
        <v>-2.1108999999999</v>
      </c>
      <c r="J9" s="70" t="n">
        <f aca="false">IFERROR((H9-F9)/F9,0)</f>
        <v>-0.00263870564544117</v>
      </c>
      <c r="K9" s="56" t="n">
        <v>-0.0037</v>
      </c>
      <c r="L9" s="56" t="n">
        <v>-0.0271</v>
      </c>
      <c r="M9" s="56" t="n">
        <v>-0.0027</v>
      </c>
      <c r="N9" s="71" t="n">
        <f aca="false">IFERROR(H9/SUM($H$5:$H$29),0)</f>
        <v>0.00495974620402815</v>
      </c>
    </row>
    <row r="10" customFormat="false" ht="19.5" hidden="false" customHeight="true" outlineLevel="0" collapsed="false">
      <c r="A10" s="72" t="n">
        <v>6</v>
      </c>
      <c r="B10" s="73" t="s">
        <v>96</v>
      </c>
      <c r="C10" s="74" t="s">
        <v>98</v>
      </c>
      <c r="D10" s="50" t="n">
        <v>79.785</v>
      </c>
      <c r="E10" s="51" t="n">
        <v>92</v>
      </c>
      <c r="F10" s="75" t="n">
        <f aca="false">D10*E10</f>
        <v>7340.22</v>
      </c>
      <c r="G10" s="53" t="n">
        <v>100.096</v>
      </c>
      <c r="H10" s="75" t="n">
        <f aca="false">D10*G10</f>
        <v>7986.15936</v>
      </c>
      <c r="I10" s="76" t="n">
        <f aca="false">H10-F10</f>
        <v>645.93936</v>
      </c>
      <c r="J10" s="77" t="n">
        <f aca="false">IFERROR((H10-F10)/F10,0)</f>
        <v>0.0880000000000001</v>
      </c>
      <c r="K10" s="56" t="n">
        <v>0.0405</v>
      </c>
      <c r="L10" s="56" t="n">
        <v>0.027</v>
      </c>
      <c r="M10" s="56" t="n">
        <v>0.088</v>
      </c>
      <c r="N10" s="78" t="n">
        <f aca="false">IFERROR(H10/SUM($H$5:$H$29),0)</f>
        <v>0.0496441640452724</v>
      </c>
    </row>
    <row r="11" customFormat="false" ht="19.5" hidden="false" customHeight="true" outlineLevel="0" collapsed="false">
      <c r="A11" s="65" t="n">
        <v>7</v>
      </c>
      <c r="B11" s="66" t="s">
        <v>96</v>
      </c>
      <c r="C11" s="67" t="s">
        <v>99</v>
      </c>
      <c r="D11" s="50" t="n">
        <v>760.433</v>
      </c>
      <c r="E11" s="51" t="n">
        <v>8.09</v>
      </c>
      <c r="F11" s="68" t="n">
        <f aca="false">D11*E11</f>
        <v>6151.90297</v>
      </c>
      <c r="G11" s="53" t="n">
        <v>9.12465</v>
      </c>
      <c r="H11" s="68" t="n">
        <f aca="false">D11*G11</f>
        <v>6938.68497345</v>
      </c>
      <c r="I11" s="69" t="n">
        <f aca="false">H11-F11</f>
        <v>786.78200345</v>
      </c>
      <c r="J11" s="70" t="n">
        <f aca="false">IFERROR((H11-F11)/F11,0)</f>
        <v>0.127892459826947</v>
      </c>
      <c r="K11" s="56" t="n">
        <v>0.0806</v>
      </c>
      <c r="L11" s="56" t="n">
        <v>0.0655</v>
      </c>
      <c r="M11" s="56" t="n">
        <v>0.1282</v>
      </c>
      <c r="N11" s="71" t="n">
        <f aca="false">IFERROR(H11/SUM($H$5:$H$29),0)</f>
        <v>0.0431327750364875</v>
      </c>
    </row>
    <row r="12" customFormat="false" ht="19.5" hidden="false" customHeight="true" outlineLevel="0" collapsed="false">
      <c r="A12" s="72" t="n">
        <v>8</v>
      </c>
      <c r="B12" s="73" t="s">
        <v>96</v>
      </c>
      <c r="C12" s="74" t="s">
        <v>100</v>
      </c>
      <c r="D12" s="50" t="n">
        <v>173.524</v>
      </c>
      <c r="E12" s="51" t="n">
        <v>8.64</v>
      </c>
      <c r="F12" s="75" t="n">
        <f aca="false">D12*E12</f>
        <v>1499.24736</v>
      </c>
      <c r="G12" s="53" t="n">
        <v>8.9725</v>
      </c>
      <c r="H12" s="75" t="n">
        <f aca="false">D12*G12</f>
        <v>1556.94409</v>
      </c>
      <c r="I12" s="76" t="n">
        <f aca="false">H12-F12</f>
        <v>57.6967299999999</v>
      </c>
      <c r="J12" s="77" t="n">
        <f aca="false">IFERROR((H12-F12)/F12,0)</f>
        <v>0.0384837962962962</v>
      </c>
      <c r="K12" s="56" t="n">
        <v>0.0229</v>
      </c>
      <c r="L12" s="56" t="n">
        <v>-0.0244</v>
      </c>
      <c r="M12" s="56" t="n">
        <v>0.038</v>
      </c>
      <c r="N12" s="78" t="n">
        <f aca="false">IFERROR(H12/SUM($H$5:$H$29),0)</f>
        <v>0.00967839287059724</v>
      </c>
    </row>
    <row r="13" customFormat="false" ht="19.5" hidden="false" customHeight="true" outlineLevel="0" collapsed="false">
      <c r="A13" s="65" t="n">
        <v>9</v>
      </c>
      <c r="B13" s="66" t="s">
        <v>96</v>
      </c>
      <c r="C13" s="67" t="s">
        <v>101</v>
      </c>
      <c r="D13" s="50" t="n">
        <v>91.886</v>
      </c>
      <c r="E13" s="51" t="n">
        <v>15.67</v>
      </c>
      <c r="F13" s="68" t="n">
        <f aca="false">D13*E13</f>
        <v>1439.85362</v>
      </c>
      <c r="G13" s="53" t="n">
        <v>16.772</v>
      </c>
      <c r="H13" s="68" t="n">
        <f aca="false">D13*G13</f>
        <v>1541.111992</v>
      </c>
      <c r="I13" s="69" t="n">
        <f aca="false">H13-F13</f>
        <v>101.258372</v>
      </c>
      <c r="J13" s="70" t="n">
        <f aca="false">IFERROR((H13-F13)/F13,0)</f>
        <v>0.0703254626675176</v>
      </c>
      <c r="K13" s="56" t="n">
        <v>0.0584</v>
      </c>
      <c r="L13" s="56" t="n">
        <v>0.0338</v>
      </c>
      <c r="M13" s="56" t="n">
        <v>0.0702</v>
      </c>
      <c r="N13" s="71" t="n">
        <f aca="false">IFERROR(H13/SUM($H$5:$H$29),0)</f>
        <v>0.00957997619308521</v>
      </c>
    </row>
    <row r="14" customFormat="false" ht="19.5" hidden="false" customHeight="true" outlineLevel="0" collapsed="false">
      <c r="A14" s="72" t="n">
        <v>10</v>
      </c>
      <c r="B14" s="73" t="s">
        <v>96</v>
      </c>
      <c r="C14" s="74" t="s">
        <v>102</v>
      </c>
      <c r="D14" s="50" t="n">
        <v>83.012</v>
      </c>
      <c r="E14" s="51" t="n">
        <v>13.01</v>
      </c>
      <c r="F14" s="75" t="n">
        <f aca="false">D14*E14</f>
        <v>1079.98612</v>
      </c>
      <c r="G14" s="53" t="n">
        <v>15.123</v>
      </c>
      <c r="H14" s="75" t="n">
        <f aca="false">D14*G14</f>
        <v>1255.390476</v>
      </c>
      <c r="I14" s="76" t="n">
        <f aca="false">H14-F14</f>
        <v>175.404356</v>
      </c>
      <c r="J14" s="77" t="n">
        <f aca="false">IFERROR((H14-F14)/F14,0)</f>
        <v>0.162413528055342</v>
      </c>
      <c r="K14" s="56" t="n">
        <v>0.1145</v>
      </c>
      <c r="L14" s="56" t="n">
        <v>0.0791</v>
      </c>
      <c r="M14" s="56" t="n">
        <v>0.1624</v>
      </c>
      <c r="N14" s="78" t="n">
        <f aca="false">IFERROR(H14/SUM($H$5:$H$29),0)</f>
        <v>0.00780385263078655</v>
      </c>
    </row>
    <row r="15" customFormat="false" ht="19.5" hidden="false" customHeight="true" outlineLevel="0" collapsed="false">
      <c r="A15" s="65" t="n">
        <v>11</v>
      </c>
      <c r="B15" s="66" t="s">
        <v>96</v>
      </c>
      <c r="C15" s="67" t="s">
        <v>103</v>
      </c>
      <c r="D15" s="50" t="n">
        <v>187.792</v>
      </c>
      <c r="E15" s="51" t="n">
        <v>12.25</v>
      </c>
      <c r="F15" s="68" t="n">
        <f aca="false">D15*E15</f>
        <v>2300.452</v>
      </c>
      <c r="G15" s="53" t="n">
        <v>15.123</v>
      </c>
      <c r="H15" s="68" t="n">
        <f aca="false">D15*G15</f>
        <v>2839.978416</v>
      </c>
      <c r="I15" s="69" t="n">
        <f aca="false">H15-F15</f>
        <v>539.526416</v>
      </c>
      <c r="J15" s="70" t="n">
        <f aca="false">IFERROR((H15-F15)/F15,0)</f>
        <v>0.234530612244898</v>
      </c>
      <c r="K15" s="56" t="n">
        <v>0.1283</v>
      </c>
      <c r="L15" s="56" t="n">
        <v>0.0841</v>
      </c>
      <c r="M15" s="56" t="n">
        <v>0.2348</v>
      </c>
      <c r="N15" s="71" t="n">
        <f aca="false">IFERROR(H15/SUM($H$5:$H$29),0)</f>
        <v>0.0176540872794375</v>
      </c>
    </row>
    <row r="16" customFormat="false" ht="19.5" hidden="false" customHeight="true" outlineLevel="0" collapsed="false">
      <c r="A16" s="72" t="n">
        <v>12</v>
      </c>
      <c r="B16" s="73" t="s">
        <v>96</v>
      </c>
      <c r="C16" s="74" t="s">
        <v>104</v>
      </c>
      <c r="D16" s="50" t="n">
        <v>116.746</v>
      </c>
      <c r="E16" s="51" t="n">
        <v>15.42</v>
      </c>
      <c r="F16" s="75" t="n">
        <f aca="false">D16*E16</f>
        <v>1800.22332</v>
      </c>
      <c r="G16" s="53" t="n">
        <v>17.719</v>
      </c>
      <c r="H16" s="75" t="n">
        <f aca="false">D16*G16</f>
        <v>2068.622374</v>
      </c>
      <c r="I16" s="76" t="n">
        <f aca="false">H16-F16</f>
        <v>268.399054</v>
      </c>
      <c r="J16" s="77" t="n">
        <f aca="false">IFERROR((H16-F16)/F16,0)</f>
        <v>0.149092088197147</v>
      </c>
      <c r="K16" s="56" t="n">
        <v>0.0834</v>
      </c>
      <c r="L16" s="56" t="n">
        <v>0.0412</v>
      </c>
      <c r="M16" s="56" t="n">
        <v>0.1492</v>
      </c>
      <c r="N16" s="78" t="n">
        <f aca="false">IFERROR(H16/SUM($H$5:$H$29),0)</f>
        <v>0.0128591258768191</v>
      </c>
    </row>
    <row r="17" customFormat="false" ht="19.5" hidden="false" customHeight="true" outlineLevel="0" collapsed="false">
      <c r="A17" s="65" t="n">
        <v>13</v>
      </c>
      <c r="B17" s="66" t="s">
        <v>96</v>
      </c>
      <c r="C17" s="67" t="s">
        <v>105</v>
      </c>
      <c r="D17" s="50" t="n">
        <v>5.264</v>
      </c>
      <c r="E17" s="51" t="n">
        <v>239.34</v>
      </c>
      <c r="F17" s="68" t="n">
        <f aca="false">D17*E17</f>
        <v>1259.88576</v>
      </c>
      <c r="G17" s="53" t="n">
        <v>267.396</v>
      </c>
      <c r="H17" s="68" t="n">
        <f aca="false">D17*G17</f>
        <v>1407.572544</v>
      </c>
      <c r="I17" s="69" t="n">
        <f aca="false">H17-F17</f>
        <v>147.686784</v>
      </c>
      <c r="J17" s="70" t="n">
        <f aca="false">IFERROR((H17-F17)/F17,0)</f>
        <v>0.117222361494109</v>
      </c>
      <c r="K17" s="56" t="n">
        <v>0.0754</v>
      </c>
      <c r="L17" s="56" t="n">
        <v>0.021</v>
      </c>
      <c r="M17" s="56" t="n">
        <v>0.1172</v>
      </c>
      <c r="N17" s="71" t="n">
        <f aca="false">IFERROR(H17/SUM($H$5:$H$29),0)</f>
        <v>0.00874985823973809</v>
      </c>
    </row>
    <row r="18" customFormat="false" ht="19.5" hidden="false" customHeight="true" outlineLevel="0" collapsed="false">
      <c r="A18" s="72" t="n">
        <v>14</v>
      </c>
      <c r="B18" s="73" t="s">
        <v>96</v>
      </c>
      <c r="C18" s="74" t="s">
        <v>106</v>
      </c>
      <c r="D18" s="50" t="n">
        <v>69.146</v>
      </c>
      <c r="E18" s="51" t="n">
        <v>15.62</v>
      </c>
      <c r="F18" s="75" t="n">
        <f aca="false">D18*E18</f>
        <v>1080.06052</v>
      </c>
      <c r="G18" s="53" t="n">
        <v>17.0496</v>
      </c>
      <c r="H18" s="75" t="n">
        <f aca="false">D18*G18</f>
        <v>1178.9116416</v>
      </c>
      <c r="I18" s="76" t="n">
        <f aca="false">H18-F18</f>
        <v>98.8511216000002</v>
      </c>
      <c r="J18" s="77" t="n">
        <f aca="false">IFERROR((H18-F18)/F18,0)</f>
        <v>0.0915236875800258</v>
      </c>
      <c r="K18" s="56" t="n">
        <v>0.035</v>
      </c>
      <c r="L18" s="56" t="n">
        <v>0.0449</v>
      </c>
      <c r="M18" s="56" t="n">
        <v>0.0916</v>
      </c>
      <c r="N18" s="78" t="n">
        <f aca="false">IFERROR(H18/SUM($H$5:$H$29),0)</f>
        <v>0.00732843915231762</v>
      </c>
    </row>
    <row r="19" customFormat="false" ht="19.5" hidden="false" customHeight="true" outlineLevel="0" collapsed="false">
      <c r="A19" s="65" t="n">
        <v>15</v>
      </c>
      <c r="B19" s="66" t="s">
        <v>96</v>
      </c>
      <c r="C19" s="67" t="s">
        <v>107</v>
      </c>
      <c r="D19" s="50" t="n">
        <v>384.677</v>
      </c>
      <c r="E19" s="51" t="n">
        <v>13.26</v>
      </c>
      <c r="F19" s="68" t="n">
        <f aca="false">D19*E19</f>
        <v>5100.81702</v>
      </c>
      <c r="G19" s="53" t="n">
        <v>17.0496</v>
      </c>
      <c r="H19" s="68" t="n">
        <f aca="false">D19*G19</f>
        <v>6558.5889792</v>
      </c>
      <c r="I19" s="69" t="n">
        <f aca="false">H19-F19</f>
        <v>1457.7719592</v>
      </c>
      <c r="J19" s="70" t="n">
        <f aca="false">IFERROR((H19-F19)/F19,0)</f>
        <v>0.28579185520362</v>
      </c>
      <c r="K19" s="56" t="n">
        <v>0.0375</v>
      </c>
      <c r="L19" s="56" t="n">
        <v>0.0481</v>
      </c>
      <c r="M19" s="56" t="n">
        <v>0.286</v>
      </c>
      <c r="N19" s="71" t="n">
        <f aca="false">IFERROR(H19/SUM($H$5:$H$29),0)</f>
        <v>0.0407699937494011</v>
      </c>
    </row>
    <row r="20" customFormat="false" ht="19.5" hidden="false" customHeight="true" outlineLevel="0" collapsed="false">
      <c r="A20" s="72" t="n">
        <v>16</v>
      </c>
      <c r="B20" s="73" t="s">
        <v>96</v>
      </c>
      <c r="C20" s="74" t="s">
        <v>108</v>
      </c>
      <c r="D20" s="50" t="n">
        <v>81.497</v>
      </c>
      <c r="E20" s="51" t="n">
        <v>13.5</v>
      </c>
      <c r="F20" s="75" t="n">
        <f aca="false">D20*E20</f>
        <v>1100.2095</v>
      </c>
      <c r="G20" s="53" t="n">
        <v>14.3579</v>
      </c>
      <c r="H20" s="75" t="n">
        <f aca="false">D20*G20</f>
        <v>1170.1257763</v>
      </c>
      <c r="I20" s="76" t="n">
        <f aca="false">H20-F20</f>
        <v>69.9162763000002</v>
      </c>
      <c r="J20" s="77" t="n">
        <f aca="false">IFERROR((H20-F20)/F20,0)</f>
        <v>0.0635481481481483</v>
      </c>
      <c r="K20" s="56" t="n">
        <v>-0.0038</v>
      </c>
      <c r="L20" s="56" t="n">
        <v>0.0007</v>
      </c>
      <c r="M20" s="56" t="n">
        <v>0.0638</v>
      </c>
      <c r="N20" s="78" t="n">
        <f aca="false">IFERROR(H20/SUM($H$5:$H$29),0)</f>
        <v>0.00727382379610303</v>
      </c>
    </row>
    <row r="21" customFormat="false" ht="19.5" hidden="false" customHeight="true" outlineLevel="0" collapsed="false">
      <c r="A21" s="65" t="n">
        <v>17</v>
      </c>
      <c r="B21" s="66" t="s">
        <v>96</v>
      </c>
      <c r="C21" s="67" t="s">
        <v>109</v>
      </c>
      <c r="D21" s="50" t="n">
        <v>94.235</v>
      </c>
      <c r="E21" s="51" t="n">
        <v>11.67</v>
      </c>
      <c r="F21" s="68" t="n">
        <f aca="false">D21*E21</f>
        <v>1099.72245</v>
      </c>
      <c r="G21" s="53" t="n">
        <v>12.6638</v>
      </c>
      <c r="H21" s="68" t="n">
        <f aca="false">D21*G21</f>
        <v>1193.373193</v>
      </c>
      <c r="I21" s="69" t="n">
        <f aca="false">H21-F21</f>
        <v>93.6507429999999</v>
      </c>
      <c r="J21" s="70" t="n">
        <f aca="false">IFERROR((H21-F21)/F21,0)</f>
        <v>0.0851585261353898</v>
      </c>
      <c r="K21" s="56" t="n">
        <v>0.0161</v>
      </c>
      <c r="L21" s="56" t="n">
        <v>0.0122</v>
      </c>
      <c r="M21" s="56" t="n">
        <v>0.0849</v>
      </c>
      <c r="N21" s="71" t="n">
        <f aca="false">IFERROR(H21/SUM($H$5:$H$29),0)</f>
        <v>0.00741833613504584</v>
      </c>
    </row>
    <row r="22" customFormat="false" ht="19.5" hidden="false" customHeight="true" outlineLevel="0" collapsed="false">
      <c r="A22" s="79" t="n">
        <v>18</v>
      </c>
      <c r="B22" s="80" t="s">
        <v>110</v>
      </c>
      <c r="C22" s="81" t="s">
        <v>111</v>
      </c>
      <c r="D22" s="50" t="n">
        <v>40.816</v>
      </c>
      <c r="E22" s="51" t="n">
        <v>2.12</v>
      </c>
      <c r="F22" s="82" t="n">
        <f aca="false">D22*E22</f>
        <v>86.52992</v>
      </c>
      <c r="G22" s="53" t="n">
        <v>1.38669</v>
      </c>
      <c r="H22" s="82" t="n">
        <f aca="false">D22*G22</f>
        <v>56.59913904</v>
      </c>
      <c r="I22" s="83" t="n">
        <f aca="false">H22-F22</f>
        <v>-29.93078096</v>
      </c>
      <c r="J22" s="84" t="n">
        <f aca="false">IFERROR((H22-F22)/F22,0)</f>
        <v>-0.345900943396226</v>
      </c>
      <c r="K22" s="56" t="n">
        <v>-0.2473</v>
      </c>
      <c r="L22" s="56" t="n">
        <v>-0.1455</v>
      </c>
      <c r="M22" s="56" t="n">
        <v>-0.4435</v>
      </c>
      <c r="N22" s="85" t="n">
        <f aca="false">IFERROR(H22/SUM($H$5:$H$29),0)</f>
        <v>0.000351835822034353</v>
      </c>
    </row>
    <row r="23" customFormat="false" ht="19.5" hidden="false" customHeight="true" outlineLevel="0" collapsed="false">
      <c r="A23" s="86" t="n">
        <v>19</v>
      </c>
      <c r="B23" s="87" t="s">
        <v>110</v>
      </c>
      <c r="C23" s="88" t="s">
        <v>112</v>
      </c>
      <c r="D23" s="50" t="n">
        <v>129.43</v>
      </c>
      <c r="E23" s="51" t="n">
        <v>2.65</v>
      </c>
      <c r="F23" s="89" t="n">
        <f aca="false">D23*E23</f>
        <v>342.9895</v>
      </c>
      <c r="G23" s="53" t="n">
        <v>0.91928</v>
      </c>
      <c r="H23" s="89" t="n">
        <f aca="false">D23*G23</f>
        <v>118.9824104</v>
      </c>
      <c r="I23" s="90" t="n">
        <f aca="false">H23-F23</f>
        <v>-224.0070896</v>
      </c>
      <c r="J23" s="91" t="n">
        <f aca="false">IFERROR((H23-F23)/F23,0)</f>
        <v>-0.653101886792453</v>
      </c>
      <c r="K23" s="56" t="n">
        <v>-0.3455</v>
      </c>
      <c r="L23" s="56" t="n">
        <v>-0.19</v>
      </c>
      <c r="M23" s="56" t="n">
        <v>-0.7051</v>
      </c>
      <c r="N23" s="92" t="n">
        <f aca="false">IFERROR(H23/SUM($H$5:$H$29),0)</f>
        <v>0.000739627402125811</v>
      </c>
    </row>
    <row r="24" customFormat="false" ht="19.5" hidden="false" customHeight="true" outlineLevel="0" collapsed="false">
      <c r="A24" s="79" t="n">
        <v>20</v>
      </c>
      <c r="B24" s="80" t="s">
        <v>110</v>
      </c>
      <c r="C24" s="81" t="s">
        <v>113</v>
      </c>
      <c r="D24" s="50" t="n">
        <v>10.367</v>
      </c>
      <c r="E24" s="51" t="n">
        <v>144.69</v>
      </c>
      <c r="F24" s="82" t="n">
        <f aca="false">D24*E24</f>
        <v>1500.00123</v>
      </c>
      <c r="G24" s="53" t="n">
        <v>70.61756</v>
      </c>
      <c r="H24" s="82" t="n">
        <f aca="false">D24*G24</f>
        <v>732.09224452</v>
      </c>
      <c r="I24" s="83" t="n">
        <f aca="false">H24-F24</f>
        <v>-767.90898548</v>
      </c>
      <c r="J24" s="84" t="n">
        <f aca="false">IFERROR((H24-F24)/F24,0)</f>
        <v>-0.511938903863432</v>
      </c>
      <c r="K24" s="56" t="n">
        <v>-0.3344</v>
      </c>
      <c r="L24" s="56" t="n">
        <v>-0.2061</v>
      </c>
      <c r="M24" s="56" t="n">
        <v>-0.5119</v>
      </c>
      <c r="N24" s="85" t="n">
        <f aca="false">IFERROR(H24/SUM($H$5:$H$29),0)</f>
        <v>0.00455088683369606</v>
      </c>
    </row>
    <row r="25" customFormat="false" ht="19.5" hidden="false" customHeight="true" outlineLevel="0" collapsed="false">
      <c r="A25" s="86" t="n">
        <v>21</v>
      </c>
      <c r="B25" s="87" t="s">
        <v>110</v>
      </c>
      <c r="C25" s="88" t="s">
        <v>114</v>
      </c>
      <c r="D25" s="50" t="n">
        <v>16949.15</v>
      </c>
      <c r="E25" s="51" t="n">
        <v>0.01</v>
      </c>
      <c r="F25" s="89" t="n">
        <f aca="false">D25*E25</f>
        <v>169.4915</v>
      </c>
      <c r="G25" s="53" t="n">
        <v>0.00201</v>
      </c>
      <c r="H25" s="89" t="n">
        <f aca="false">D25*G25</f>
        <v>34.0677915</v>
      </c>
      <c r="I25" s="90" t="n">
        <f aca="false">H25-F25</f>
        <v>-135.4237085</v>
      </c>
      <c r="J25" s="91" t="n">
        <f aca="false">IFERROR((H25-F25)/F25,0)</f>
        <v>-0.799</v>
      </c>
      <c r="K25" s="56" t="n">
        <v>0.0485</v>
      </c>
      <c r="L25" s="56" t="n">
        <v>-0.2445</v>
      </c>
      <c r="M25" s="56" t="n">
        <v>-0.6636</v>
      </c>
      <c r="N25" s="92" t="n">
        <f aca="false">IFERROR(H25/SUM($H$5:$H$29),0)</f>
        <v>0.000211774766022968</v>
      </c>
    </row>
    <row r="26" customFormat="false" ht="19.5" hidden="false" customHeight="true" outlineLevel="0" collapsed="false">
      <c r="A26" s="79" t="n">
        <v>22</v>
      </c>
      <c r="B26" s="80" t="s">
        <v>110</v>
      </c>
      <c r="C26" s="81" t="s">
        <v>115</v>
      </c>
      <c r="D26" s="50" t="n">
        <v>3389.83</v>
      </c>
      <c r="E26" s="51" t="n">
        <v>0.03</v>
      </c>
      <c r="F26" s="82" t="n">
        <f aca="false">D26*E26</f>
        <v>101.6949</v>
      </c>
      <c r="G26" s="53" t="n">
        <v>0.00653</v>
      </c>
      <c r="H26" s="82" t="n">
        <f aca="false">D26*G26</f>
        <v>22.1355899</v>
      </c>
      <c r="I26" s="83" t="n">
        <f aca="false">H26-F26</f>
        <v>-79.5593101</v>
      </c>
      <c r="J26" s="84" t="n">
        <f aca="false">IFERROR((H26-F26)/F26,0)</f>
        <v>-0.782333333333333</v>
      </c>
      <c r="K26" s="56" t="n">
        <v>-0.2472</v>
      </c>
      <c r="L26" s="56" t="n">
        <v>-0.1511</v>
      </c>
      <c r="M26" s="56" t="n">
        <v>-0.7787</v>
      </c>
      <c r="N26" s="85" t="n">
        <f aca="false">IFERROR(H26/SUM($H$5:$H$29),0)</f>
        <v>0.000137600917624874</v>
      </c>
    </row>
    <row r="27" customFormat="false" ht="19.5" hidden="false" customHeight="true" outlineLevel="0" collapsed="false">
      <c r="A27" s="86" t="n">
        <v>23</v>
      </c>
      <c r="B27" s="87" t="s">
        <v>110</v>
      </c>
      <c r="C27" s="88" t="s">
        <v>116</v>
      </c>
      <c r="D27" s="50" t="n">
        <v>20223.6</v>
      </c>
      <c r="E27" s="51" t="n">
        <v>0.01</v>
      </c>
      <c r="F27" s="89" t="n">
        <f aca="false">D27*E27</f>
        <v>202.236</v>
      </c>
      <c r="G27" s="53" t="n">
        <v>0.00339</v>
      </c>
      <c r="H27" s="89" t="n">
        <f aca="false">D27*G27</f>
        <v>68.558004</v>
      </c>
      <c r="I27" s="90" t="n">
        <f aca="false">H27-F27</f>
        <v>-133.677996</v>
      </c>
      <c r="J27" s="91" t="n">
        <f aca="false">IFERROR((H27-F27)/F27,0)</f>
        <v>-0.661</v>
      </c>
      <c r="K27" s="56" t="n">
        <v>-0.4656</v>
      </c>
      <c r="L27" s="56" t="n">
        <v>-0.2585</v>
      </c>
      <c r="M27" s="56" t="n">
        <v>-0.7745</v>
      </c>
      <c r="N27" s="92" t="n">
        <f aca="false">IFERROR(H27/SUM($H$5:$H$29),0)</f>
        <v>0.000426175417214871</v>
      </c>
    </row>
    <row r="28" customFormat="false" ht="19.5" hidden="false" customHeight="true" outlineLevel="0" collapsed="false">
      <c r="A28" s="79" t="n">
        <v>24</v>
      </c>
      <c r="B28" s="80" t="s">
        <v>110</v>
      </c>
      <c r="C28" s="81" t="s">
        <v>117</v>
      </c>
      <c r="D28" s="50" t="n">
        <v>1261</v>
      </c>
      <c r="E28" s="51" t="n">
        <v>0.07</v>
      </c>
      <c r="F28" s="82" t="n">
        <f aca="false">D28*E28</f>
        <v>88.27</v>
      </c>
      <c r="G28" s="53" t="n">
        <v>0.03018</v>
      </c>
      <c r="H28" s="82" t="n">
        <f aca="false">D28*G28</f>
        <v>38.05698</v>
      </c>
      <c r="I28" s="83" t="n">
        <f aca="false">H28-F28</f>
        <v>-50.21302</v>
      </c>
      <c r="J28" s="84" t="n">
        <f aca="false">IFERROR((H28-F28)/F28,0)</f>
        <v>-0.568857142857143</v>
      </c>
      <c r="K28" s="56" t="n">
        <v>-0.2977</v>
      </c>
      <c r="L28" s="56" t="n">
        <v>-0.076</v>
      </c>
      <c r="M28" s="56" t="n">
        <v>-0.6195</v>
      </c>
      <c r="N28" s="85" t="n">
        <f aca="false">IFERROR(H28/SUM($H$5:$H$29),0)</f>
        <v>0.000236572659400031</v>
      </c>
    </row>
    <row r="29" customFormat="false" ht="19.5" hidden="false" customHeight="true" outlineLevel="0" collapsed="false">
      <c r="A29" s="86" t="n">
        <v>25</v>
      </c>
      <c r="B29" s="87" t="s">
        <v>110</v>
      </c>
      <c r="C29" s="88" t="s">
        <v>118</v>
      </c>
      <c r="D29" s="50" t="n">
        <v>0.014</v>
      </c>
      <c r="E29" s="51" t="n">
        <v>92864.95</v>
      </c>
      <c r="F29" s="89" t="n">
        <f aca="false">D29*E29</f>
        <v>1300.1093</v>
      </c>
      <c r="G29" s="53" t="n">
        <v>57160.49</v>
      </c>
      <c r="H29" s="89" t="n">
        <f aca="false">D29*G29</f>
        <v>800.24686</v>
      </c>
      <c r="I29" s="90" t="n">
        <f aca="false">H29-F29</f>
        <v>-499.86244</v>
      </c>
      <c r="J29" s="91" t="n">
        <f aca="false">IFERROR((H29-F29)/F29,0)</f>
        <v>-0.384477243567137</v>
      </c>
      <c r="K29" s="56" t="n">
        <v>-0.2336</v>
      </c>
      <c r="L29" s="56" t="n">
        <v>-0.1382</v>
      </c>
      <c r="M29" s="56" t="n">
        <v>-0.3845</v>
      </c>
      <c r="N29" s="92" t="n">
        <f aca="false">IFERROR(H29/SUM($H$5:$H$29),0)</f>
        <v>0.00497455467687464</v>
      </c>
    </row>
    <row r="30" customFormat="false" ht="24" hidden="false" customHeight="true" outlineLevel="0" collapsed="false">
      <c r="A30" s="93" t="s">
        <v>119</v>
      </c>
      <c r="B30" s="93"/>
      <c r="C30" s="93"/>
      <c r="D30" s="94"/>
      <c r="E30" s="94"/>
      <c r="F30" s="95" t="n">
        <f aca="false">SUM(F5:F29)</f>
        <v>148411.08914</v>
      </c>
      <c r="G30" s="96" t="str">
        <f aca="false">""</f>
        <v/>
      </c>
      <c r="H30" s="95" t="n">
        <f aca="false">SUM(H5:H29)</f>
        <v>160868.03985091</v>
      </c>
      <c r="I30" s="97" t="n">
        <f aca="false">SUM(I5:I29)</f>
        <v>12456.95071091</v>
      </c>
      <c r="J30" s="98" t="n">
        <f aca="false">IFERROR((H30-F30)/F30,0)</f>
        <v>0.0839354443329977</v>
      </c>
      <c r="K30" s="98" t="n">
        <f aca="false">SUMPRODUCT(N5:N29,K5:K29)</f>
        <v>0.0145774582915859</v>
      </c>
      <c r="L30" s="98" t="n">
        <f aca="false">SUMPRODUCT(N5:N29,L5:L29)</f>
        <v>0.00908733142634698</v>
      </c>
      <c r="M30" s="94"/>
      <c r="N30" s="99" t="n">
        <f aca="false">SUM(N5:N29)</f>
        <v>1</v>
      </c>
    </row>
  </sheetData>
  <mergeCells count="3">
    <mergeCell ref="A1:N1"/>
    <mergeCell ref="A2:N2"/>
    <mergeCell ref="A30:C30"/>
  </mergeCells>
  <conditionalFormatting sqref="I5:I29">
    <cfRule type="colorScale" priority="2">
      <colorScale>
        <cfvo type="min" val="0"/>
        <cfvo type="num" val="0"/>
        <cfvo type="max" val="0"/>
        <color rgb="FFFF4757"/>
        <color rgb="FFFFFFFF"/>
        <color rgb="FF00E5A0"/>
      </colorScale>
    </cfRule>
  </conditionalFormatting>
  <conditionalFormatting sqref="J5:J29">
    <cfRule type="colorScale" priority="3">
      <colorScale>
        <cfvo type="min" val="0"/>
        <cfvo type="num" val="0"/>
        <cfvo type="max" val="0"/>
        <color rgb="FFFF4757"/>
        <color rgb="FFFFFFFF"/>
        <color rgb="FF00E5A0"/>
      </colorScale>
    </cfRule>
  </conditionalFormatting>
  <conditionalFormatting sqref="K5:K29">
    <cfRule type="colorScale" priority="4">
      <colorScale>
        <cfvo type="min" val="0"/>
        <cfvo type="num" val="0"/>
        <cfvo type="max" val="0"/>
        <color rgb="FFFF4757"/>
        <color rgb="FFFFFFFF"/>
        <color rgb="FF00E5A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4" min="3" style="1" width="16"/>
    <col collapsed="false" customWidth="true" hidden="false" outlineLevel="0" max="5" min="5" style="1" width="2"/>
    <col collapsed="false" customWidth="true" hidden="false" outlineLevel="0" max="6" min="6" style="1" width="3"/>
    <col collapsed="false" customWidth="true" hidden="false" outlineLevel="0" max="7" min="7" style="1" width="20"/>
    <col collapsed="false" customWidth="true" hidden="false" outlineLevel="0" max="8" min="8" style="1" width="16"/>
    <col collapsed="false" customWidth="true" hidden="false" outlineLevel="0" max="9" min="9" style="1" width="2"/>
    <col collapsed="false" customWidth="true" hidden="false" outlineLevel="0" max="10" min="10" style="1" width="16"/>
    <col collapsed="false" customWidth="true" hidden="false" outlineLevel="0" max="11" min="11" style="1" width="3"/>
    <col collapsed="false" customWidth="true" hidden="false" outlineLevel="0" max="12" min="12" style="1" width="20"/>
    <col collapsed="false" customWidth="true" hidden="false" outlineLevel="0" max="13" min="13" style="1" width="2"/>
    <col collapsed="false" customWidth="true" hidden="false" outlineLevel="0" max="15" min="14" style="1" width="16"/>
    <col collapsed="false" customWidth="true" hidden="false" outlineLevel="0" max="16" min="16" style="1" width="3"/>
  </cols>
  <sheetData>
    <row r="1" customFormat="false" ht="43.5" hidden="false" customHeight="true" outlineLevel="0" collapsed="false">
      <c r="A1" s="100" t="s">
        <v>120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</row>
    <row r="2" customFormat="false" ht="19.5" hidden="false" customHeight="true" outlineLevel="0" collapsed="false">
      <c r="A2" s="45" t="s">
        <v>121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customFormat="false" ht="7.5" hidden="false" customHeight="true" outlineLevel="0" collapsed="false"/>
    <row r="4" customFormat="false" ht="7.5" hidden="false" customHeight="true" outlineLevel="0" collapsed="false">
      <c r="B4" s="101"/>
      <c r="C4" s="101"/>
      <c r="D4" s="101"/>
      <c r="E4" s="101"/>
      <c r="G4" s="101"/>
      <c r="H4" s="101"/>
      <c r="I4" s="101"/>
      <c r="J4" s="101"/>
      <c r="L4" s="101"/>
      <c r="M4" s="101"/>
      <c r="N4" s="101"/>
      <c r="O4" s="101"/>
    </row>
    <row r="5" customFormat="false" ht="4.5" hidden="false" customHeight="true" outlineLevel="0" collapsed="false">
      <c r="B5" s="102"/>
      <c r="C5" s="102"/>
      <c r="D5" s="102"/>
      <c r="E5" s="102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customFormat="false" ht="18" hidden="false" customHeight="true" outlineLevel="0" collapsed="false">
      <c r="B6" s="104" t="s">
        <v>122</v>
      </c>
      <c r="C6" s="104"/>
      <c r="D6" s="104"/>
      <c r="E6" s="104"/>
      <c r="F6" s="104" t="s">
        <v>123</v>
      </c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customFormat="false" ht="36" hidden="false" customHeight="true" outlineLevel="0" collapsed="false">
      <c r="B7" s="105" t="n">
        <f aca="false">SUM('📋 ACTIVOS'!H5:H29)</f>
        <v>160868.03985091</v>
      </c>
      <c r="C7" s="105"/>
      <c r="D7" s="105"/>
      <c r="E7" s="105"/>
      <c r="F7" s="106" t="n">
        <f aca="false">SUM('📋 ACTIVOS'!I5:I29)</f>
        <v>12456.95071091</v>
      </c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</row>
    <row r="8" customFormat="false" ht="15.75" hidden="false" customHeight="true" outlineLevel="0" collapsed="false">
      <c r="B8" s="107" t="n">
        <f aca="false">SUM('📋 ACTIVOS'!H5:H29)-SUM('📋 ACTIVOS'!F5:F29)</f>
        <v>12456.95071091</v>
      </c>
      <c r="C8" s="107"/>
      <c r="D8" s="107"/>
      <c r="E8" s="107"/>
      <c r="F8" s="108" t="n">
        <f aca="false">IFERROR(SUM('📋 ACTIVOS'!I5:I29)/SUM('📋 ACTIVOS'!F5:F29),0)</f>
        <v>0.0839354443329975</v>
      </c>
      <c r="G8" s="108"/>
      <c r="H8" s="108"/>
      <c r="I8" s="108"/>
      <c r="J8" s="109" t="s">
        <v>124</v>
      </c>
      <c r="K8" s="109"/>
      <c r="L8" s="109"/>
      <c r="M8" s="109"/>
      <c r="N8" s="109" t="str">
        <f aca="false">COUNTA('📋 ACTIVOS'!C5:C29)&amp;" posiciones"</f>
        <v>25 posiciones</v>
      </c>
      <c r="O8" s="109"/>
      <c r="P8" s="109"/>
      <c r="Q8" s="109"/>
    </row>
    <row r="9" customFormat="false" ht="4.5" hidden="false" customHeight="true" outlineLevel="0" collapsed="false">
      <c r="B9" s="101"/>
      <c r="C9" s="101"/>
      <c r="D9" s="101"/>
      <c r="E9" s="101"/>
      <c r="G9" s="101"/>
      <c r="H9" s="101"/>
      <c r="I9" s="101"/>
      <c r="J9" s="101"/>
      <c r="L9" s="101"/>
      <c r="M9" s="101"/>
      <c r="N9" s="101"/>
      <c r="O9" s="101"/>
    </row>
    <row r="10" customFormat="false" ht="7.5" hidden="false" customHeight="true" outlineLevel="0" collapsed="false">
      <c r="B10" s="101"/>
      <c r="C10" s="101"/>
      <c r="D10" s="101"/>
      <c r="E10" s="101"/>
      <c r="G10" s="101"/>
      <c r="H10" s="101"/>
      <c r="I10" s="101"/>
      <c r="J10" s="101"/>
      <c r="L10" s="101"/>
      <c r="M10" s="101"/>
      <c r="N10" s="101"/>
      <c r="O10" s="101"/>
    </row>
    <row r="11" customFormat="false" ht="4.5" hidden="false" customHeight="true" outlineLevel="0" collapsed="false">
      <c r="B11" s="110"/>
      <c r="C11" s="110"/>
      <c r="D11" s="110"/>
      <c r="E11" s="110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</row>
    <row r="12" customFormat="false" ht="18" hidden="false" customHeight="true" outlineLevel="0" collapsed="false">
      <c r="B12" s="104" t="s">
        <v>125</v>
      </c>
      <c r="C12" s="104"/>
      <c r="D12" s="104"/>
      <c r="E12" s="104"/>
      <c r="F12" s="104" t="s">
        <v>126</v>
      </c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</row>
    <row r="13" customFormat="false" ht="36" hidden="false" customHeight="true" outlineLevel="0" collapsed="false">
      <c r="B13" s="112" t="n">
        <f aca="false">'⚙️ INPUTS'!B25</f>
        <v>0.0854</v>
      </c>
      <c r="C13" s="112"/>
      <c r="D13" s="112"/>
      <c r="E13" s="112"/>
      <c r="F13" s="112" t="n">
        <f aca="false">'⚙️ INPUTS'!B26</f>
        <v>0.0574042681339985</v>
      </c>
      <c r="G13" s="112"/>
      <c r="H13" s="112"/>
      <c r="I13" s="112"/>
      <c r="J13" s="113" t="n">
        <f aca="false">'⚙️ INPUTS'!B27</f>
        <v>1.13928810741628</v>
      </c>
      <c r="K13" s="113"/>
      <c r="L13" s="113"/>
      <c r="M13" s="113"/>
      <c r="N13" s="112" t="n">
        <f aca="false">'⚙️ INPUTS'!B5</f>
        <v>0.02</v>
      </c>
      <c r="O13" s="112"/>
      <c r="P13" s="112"/>
      <c r="Q13" s="112"/>
    </row>
    <row r="14" customFormat="false" ht="15.75" hidden="false" customHeight="true" outlineLevel="0" collapsed="false">
      <c r="B14" s="109" t="s">
        <v>127</v>
      </c>
      <c r="C14" s="109"/>
      <c r="D14" s="109"/>
      <c r="E14" s="109"/>
      <c r="F14" s="109" t="s">
        <v>128</v>
      </c>
      <c r="G14" s="109"/>
      <c r="H14" s="109"/>
      <c r="I14" s="109"/>
      <c r="J14" s="109" t="s">
        <v>129</v>
      </c>
      <c r="K14" s="109"/>
      <c r="L14" s="109"/>
      <c r="M14" s="109"/>
      <c r="N14" s="109" t="str">
        <f aca="false">COUNTA('📋 ACTIVOS'!C5:C29)&amp;" posiciones"</f>
        <v>25 posiciones</v>
      </c>
      <c r="O14" s="109"/>
      <c r="P14" s="109"/>
      <c r="Q14" s="109"/>
    </row>
    <row r="16" customFormat="false" ht="9.75" hidden="false" customHeight="true" outlineLevel="0" collapsed="false"/>
    <row r="17" customFormat="false" ht="21.75" hidden="false" customHeight="true" outlineLevel="0" collapsed="false">
      <c r="A17" s="114" t="s">
        <v>130</v>
      </c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</row>
    <row r="18" customFormat="false" ht="21.75" hidden="false" customHeight="true" outlineLevel="0" collapsed="false">
      <c r="B18" s="115" t="s">
        <v>131</v>
      </c>
      <c r="C18" s="115" t="s">
        <v>82</v>
      </c>
      <c r="D18" s="115" t="s">
        <v>84</v>
      </c>
      <c r="E18" s="115" t="s">
        <v>85</v>
      </c>
      <c r="F18" s="115" t="s">
        <v>86</v>
      </c>
      <c r="G18" s="115" t="s">
        <v>87</v>
      </c>
      <c r="H18" s="115" t="s">
        <v>88</v>
      </c>
      <c r="I18" s="115" t="s">
        <v>132</v>
      </c>
      <c r="J18" s="115" t="s">
        <v>133</v>
      </c>
      <c r="K18" s="115" t="s">
        <v>134</v>
      </c>
      <c r="L18" s="115" t="s">
        <v>135</v>
      </c>
    </row>
    <row r="19" customFormat="false" ht="21.75" hidden="false" customHeight="true" outlineLevel="0" collapsed="false">
      <c r="B19" s="116" t="s">
        <v>136</v>
      </c>
      <c r="C19" s="117" t="n">
        <f aca="false">SUMIF('📋 ACTIVOS'!$B$5:$B$29,"RF",'📋 ACTIVOS'!$F$5:$F$29)</f>
        <v>112567.2106</v>
      </c>
      <c r="D19" s="117" t="n">
        <f aca="false">SUMIF('📋 ACTIVOS'!$B$5:$B$29,"RF",'📋 ACTIVOS'!$H$5:$H$29)</f>
        <v>122503.972366</v>
      </c>
      <c r="E19" s="118" t="n">
        <f aca="false">IFERROR(SUMPRODUCT(('📋 ACTIVOS'!$B$5:$B$29="RF")*'📋 ACTIVOS'!$H$5:$H$29*'📋 ACTIVOS'!$K$5:$K$29)/SUMIF('📋 ACTIVOS'!$B$5:$B$29,"RF",'📋 ACTIVOS'!$H$5:$H$29),0)</f>
        <v>0.00640656759333482</v>
      </c>
      <c r="F19" s="118" t="n">
        <f aca="false">IFERROR((C19-B19)/B19,0)</f>
        <v>0</v>
      </c>
      <c r="G19" s="119" t="n">
        <f aca="false">IFERROR(SUMPRODUCT(('📋 ACTIVOS'!$B$5:$B$29="RF")*'📋 ACTIVOS'!$K$5:$K$29*'📋 ACTIVOS'!$N$5:$N$29)/SUMIF('📋 ACTIVOS'!$B$5:$B$29,"RF",'📋 ACTIVOS'!$N$5:$N$29),0)</f>
        <v>0.00640656759333482</v>
      </c>
      <c r="H19" s="119" t="n">
        <f aca="false">IFERROR(SUMPRODUCT(('📋 ACTIVOS'!$B$5:$B$29="RF")*'📋 ACTIVOS'!$L$5:$L$29*'📋 ACTIVOS'!$N$5:$N$29)/SUMIF('📋 ACTIVOS'!$B$5:$B$29,"RF",'📋 ACTIVOS'!$N$5:$N$29),0)</f>
        <v>0.00234419063916251</v>
      </c>
      <c r="I19" s="57" t="n">
        <f aca="false">IFERROR(SUMIF('📋 ACTIVOS'!$B$5:$B$29,"RF",'📋 ACTIVOS'!$H$5:$H$29)/SUM('📋 ACTIVOS'!$H$5:$H$29),0)</f>
        <v>0.761518400295887</v>
      </c>
      <c r="J19" s="57" t="n">
        <f aca="false">INDEX('⚙️ INPUTS'!$F$18:$F$20,1)</f>
        <v>0.07</v>
      </c>
      <c r="K19" s="57" t="n">
        <f aca="false">INDEX('⚙️ INPUTS'!$G$18:$G$20,1)</f>
        <v>0.04</v>
      </c>
      <c r="L19" s="120" t="n">
        <f aca="false">INDEX('⚙️ INPUTS'!$H$18:$H$20,1)</f>
        <v>1.25</v>
      </c>
    </row>
    <row r="20" customFormat="false" ht="21.75" hidden="false" customHeight="true" outlineLevel="0" collapsed="false">
      <c r="B20" s="121" t="s">
        <v>137</v>
      </c>
      <c r="C20" s="122" t="n">
        <f aca="false">SUMIF('📋 ACTIVOS'!$B$5:$B$29,"RV",'📋 ACTIVOS'!$F$5:$F$29)</f>
        <v>32052.55619</v>
      </c>
      <c r="D20" s="122" t="n">
        <f aca="false">SUMIF('📋 ACTIVOS'!$B$5:$B$29,"RV",'📋 ACTIVOS'!$H$5:$H$29)</f>
        <v>36493.32846555</v>
      </c>
      <c r="E20" s="123" t="n">
        <f aca="false">IFERROR(SUMPRODUCT(('📋 ACTIVOS'!$B$5:$B$29="RV")*'📋 ACTIVOS'!$H$5:$H$29*'📋 ACTIVOS'!$K$5:$K$29)/SUMIF('📋 ACTIVOS'!$B$5:$B$29,"RV",'📋 ACTIVOS'!$H$5:$H$29),0)</f>
        <v>0.0573842330228419</v>
      </c>
      <c r="F20" s="123" t="n">
        <f aca="false">IFERROR((C20-B20)/B20,0)</f>
        <v>0</v>
      </c>
      <c r="G20" s="124" t="n">
        <f aca="false">IFERROR(SUMPRODUCT(('📋 ACTIVOS'!$B$5:$B$29="RV")*'📋 ACTIVOS'!$K$5:$K$29*'📋 ACTIVOS'!$N$5:$N$29)/SUMIF('📋 ACTIVOS'!$B$5:$B$29,"RV",'📋 ACTIVOS'!$N$5:$N$29),0)</f>
        <v>0.0573842330228419</v>
      </c>
      <c r="H20" s="124" t="n">
        <f aca="false">IFERROR(SUMPRODUCT(('📋 ACTIVOS'!$B$5:$B$29="RV")*'📋 ACTIVOS'!$L$5:$L$29*'📋 ACTIVOS'!$N$5:$N$29)/SUMIF('📋 ACTIVOS'!$B$5:$B$29,"RV",'📋 ACTIVOS'!$N$5:$N$29),0)</f>
        <v>0.0410841539896887</v>
      </c>
      <c r="I20" s="71" t="n">
        <f aca="false">IFERROR(SUMIF('📋 ACTIVOS'!$B$5:$B$29,"RV",'📋 ACTIVOS'!$H$5:$H$29)/SUM('📋 ACTIVOS'!$H$5:$H$29),0)</f>
        <v>0.226852571209119</v>
      </c>
      <c r="J20" s="71" t="n">
        <f aca="false">INDEX('⚙️ INPUTS'!$F$18:$F$20,2)</f>
        <v>0.11</v>
      </c>
      <c r="K20" s="71" t="n">
        <f aca="false">INDEX('⚙️ INPUTS'!$G$18:$G$20,2)</f>
        <v>0.15</v>
      </c>
      <c r="L20" s="125" t="n">
        <f aca="false">INDEX('⚙️ INPUTS'!$H$18:$H$20,2)</f>
        <v>0.6</v>
      </c>
    </row>
    <row r="21" customFormat="false" ht="21.75" hidden="false" customHeight="true" outlineLevel="0" collapsed="false">
      <c r="B21" s="126" t="s">
        <v>138</v>
      </c>
      <c r="C21" s="127" t="n">
        <f aca="false">SUMIF('📋 ACTIVOS'!$B$5:$B$29,"CR",'📋 ACTIVOS'!$F$5:$F$29)</f>
        <v>3791.32235</v>
      </c>
      <c r="D21" s="127" t="n">
        <f aca="false">SUMIF('📋 ACTIVOS'!$B$5:$B$29,"CR",'📋 ACTIVOS'!$H$5:$H$29)</f>
        <v>1870.73901936</v>
      </c>
      <c r="E21" s="128" t="n">
        <f aca="false">IFERROR(SUMPRODUCT(('📋 ACTIVOS'!$B$5:$B$29="CR")*'📋 ACTIVOS'!$H$5:$H$29*'📋 ACTIVOS'!$K$5:$K$29)/SUMIF('📋 ACTIVOS'!$B$5:$B$29,"CR",'📋 ACTIVOS'!$H$5:$H$29),0)</f>
        <v>-0.285408331659149</v>
      </c>
      <c r="F21" s="128" t="n">
        <f aca="false">IFERROR((C21-B21)/B21,0)</f>
        <v>0</v>
      </c>
      <c r="G21" s="129" t="n">
        <f aca="false">IFERROR(SUMPRODUCT(('📋 ACTIVOS'!$B$5:$B$29="CR")*'📋 ACTIVOS'!$K$5:$K$29*'📋 ACTIVOS'!$N$5:$N$29)/SUMIF('📋 ACTIVOS'!$B$5:$B$29,"CR",'📋 ACTIVOS'!$N$5:$N$29),0)</f>
        <v>-0.285408331659149</v>
      </c>
      <c r="H21" s="129" t="n">
        <f aca="false">IFERROR(SUMPRODUCT(('📋 ACTIVOS'!$B$5:$B$29="CR")*'📋 ACTIVOS'!$L$5:$L$29*'📋 ACTIVOS'!$N$5:$N$29)/SUMIF('📋 ACTIVOS'!$B$5:$B$29,"CR",'📋 ACTIVOS'!$N$5:$N$29),0)</f>
        <v>-0.173519124882841</v>
      </c>
      <c r="I21" s="92" t="n">
        <f aca="false">IFERROR(SUMIF('📋 ACTIVOS'!$B$5:$B$29,"CR",'📋 ACTIVOS'!$H$5:$H$29)/SUM('📋 ACTIVOS'!$H$5:$H$29),0)</f>
        <v>0.0116290284949936</v>
      </c>
      <c r="J21" s="92" t="n">
        <f aca="false">INDEX('⚙️ INPUTS'!$F$18:$F$20,3)</f>
        <v>0.18</v>
      </c>
      <c r="K21" s="92" t="n">
        <f aca="false">INDEX('⚙️ INPUTS'!$G$18:$G$20,3)</f>
        <v>0.65</v>
      </c>
      <c r="L21" s="130" t="n">
        <f aca="false">INDEX('⚙️ INPUTS'!$H$18:$H$20,3)</f>
        <v>0.246153846153846</v>
      </c>
    </row>
    <row r="22" customFormat="false" ht="21.75" hidden="false" customHeight="true" outlineLevel="0" collapsed="false">
      <c r="B22" s="131" t="s">
        <v>53</v>
      </c>
      <c r="C22" s="132" t="n">
        <f aca="false">SUM(B19:B21)</f>
        <v>0</v>
      </c>
      <c r="D22" s="132" t="n">
        <f aca="false">SUM(C19:C21)</f>
        <v>148411.08914</v>
      </c>
      <c r="E22" s="133" t="n">
        <f aca="false">SUM(D19:D21)</f>
        <v>160868.03985091</v>
      </c>
      <c r="F22" s="134" t="n">
        <f aca="false">IFERROR(D22/B22,0)</f>
        <v>0</v>
      </c>
      <c r="G22" s="134" t="n">
        <f aca="false">SUMPRODUCT(G19:G21,H19:H21)/SUM(H19:H21)</f>
        <v>-0.39892454118821</v>
      </c>
      <c r="H22" s="134" t="n">
        <f aca="false">SUMPRODUCT(I19:I21,H19:H21)/SUM(H19:H21)</f>
        <v>-0.0698537698721217</v>
      </c>
      <c r="I22" s="135" t="n">
        <f aca="false">SUM(H19:H21)</f>
        <v>-0.13009078025399</v>
      </c>
      <c r="J22" s="135" t="n">
        <f aca="false">SUMPRODUCT(J19:J21,H19:H21)/SUM(H19:H21)</f>
        <v>0.204088961135199</v>
      </c>
      <c r="K22" s="135" t="n">
        <f aca="false">SUMPRODUCT(K19:K21,H19:H21)/SUM(H19:H21)</f>
        <v>0.81889769776025</v>
      </c>
      <c r="L22" s="136" t="n">
        <f aca="false">IFERROR((J22-'⚙️ INPUTS'!B5)/K22,0)</f>
        <v>0.224800926463338</v>
      </c>
    </row>
    <row r="23" customFormat="false" ht="9.75" hidden="false" customHeight="true" outlineLevel="0" collapsed="false"/>
    <row r="24" customFormat="false" ht="21.75" hidden="false" customHeight="true" outlineLevel="0" collapsed="false">
      <c r="A24" s="137" t="s">
        <v>139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</row>
    <row r="25" customFormat="false" ht="30" hidden="false" customHeight="true" outlineLevel="0" collapsed="false">
      <c r="B25" s="138" t="s">
        <v>43</v>
      </c>
      <c r="C25" s="138" t="s">
        <v>140</v>
      </c>
      <c r="D25" s="138" t="s">
        <v>141</v>
      </c>
      <c r="E25" s="138" t="s">
        <v>142</v>
      </c>
      <c r="F25" s="138" t="s">
        <v>143</v>
      </c>
      <c r="G25" s="138" t="s">
        <v>144</v>
      </c>
      <c r="H25" s="138" t="s">
        <v>135</v>
      </c>
      <c r="I25" s="138" t="s">
        <v>145</v>
      </c>
      <c r="J25" s="138" t="s">
        <v>146</v>
      </c>
      <c r="K25" s="138" t="s">
        <v>147</v>
      </c>
    </row>
    <row r="26" customFormat="false" ht="21.75" hidden="false" customHeight="true" outlineLevel="0" collapsed="false">
      <c r="B26" s="116" t="s">
        <v>136</v>
      </c>
      <c r="C26" s="139" t="n">
        <f aca="false">SUMIF('📋 ACTIVOS'!$B$5:$B$29,"RF",'📋 ACTIVOS'!$H$5:$H$29)/SUM('📋 ACTIVOS'!$H$5:$H$29)</f>
        <v>0.761518400295887</v>
      </c>
      <c r="D26" s="139" t="n">
        <f aca="false">INDEX('⚙️ INPUTS'!$F$18:$F$20,1)</f>
        <v>0.07</v>
      </c>
      <c r="E26" s="140" t="n">
        <f aca="false">C26*D26</f>
        <v>0.0533062880207121</v>
      </c>
      <c r="F26" s="139" t="n">
        <f aca="false">INDEX('⚙️ INPUTS'!$G$18:$G$20,1)</f>
        <v>0.04</v>
      </c>
      <c r="G26" s="140" t="n">
        <f aca="false">C26*F26</f>
        <v>0.0304607360118355</v>
      </c>
      <c r="H26" s="141" t="n">
        <f aca="false">IFERROR((D26-'⚙️ INPUTS'!$B$5)/F26,0)</f>
        <v>1.25</v>
      </c>
      <c r="I26" s="142" t="n">
        <v>-0.08</v>
      </c>
      <c r="J26" s="143" t="n">
        <f aca="false">IFERROR(SUMPRODUCT(('📋 ACTIVOS'!$B$5:$B$29="RF")*'📋 ACTIVOS'!$K$5:$K$29*'📋 ACTIVOS'!$N$5:$N$29)/SUMIF('📋 ACTIVOS'!$B$5:$B$29,"RF",'📋 ACTIVOS'!$N$5:$N$29),0)</f>
        <v>0.00640656759333482</v>
      </c>
      <c r="K26" s="144" t="n">
        <f aca="false">D26-J26</f>
        <v>0.0635934324066652</v>
      </c>
    </row>
    <row r="27" customFormat="false" ht="21.75" hidden="false" customHeight="true" outlineLevel="0" collapsed="false">
      <c r="B27" s="121" t="s">
        <v>137</v>
      </c>
      <c r="C27" s="145" t="n">
        <f aca="false">SUMIF('📋 ACTIVOS'!$B$5:$B$29,"RV",'📋 ACTIVOS'!$H$5:$H$29)/SUM('📋 ACTIVOS'!$H$5:$H$29)</f>
        <v>0.226852571209119</v>
      </c>
      <c r="D27" s="145" t="n">
        <f aca="false">INDEX('⚙️ INPUTS'!$F$18:$F$20,2)</f>
        <v>0.11</v>
      </c>
      <c r="E27" s="146" t="n">
        <f aca="false">C27*D27</f>
        <v>0.0249537828330031</v>
      </c>
      <c r="F27" s="145" t="n">
        <f aca="false">INDEX('⚙️ INPUTS'!$G$18:$G$20,2)</f>
        <v>0.15</v>
      </c>
      <c r="G27" s="146" t="n">
        <f aca="false">C27*F27</f>
        <v>0.0340278856813679</v>
      </c>
      <c r="H27" s="147" t="n">
        <f aca="false">IFERROR((D27-'⚙️ INPUTS'!$B$5)/F27,0)</f>
        <v>0.6</v>
      </c>
      <c r="I27" s="142" t="n">
        <v>-0.3</v>
      </c>
      <c r="J27" s="148" t="n">
        <f aca="false">IFERROR(SUMPRODUCT(('📋 ACTIVOS'!$B$5:$B$29="RV")*'📋 ACTIVOS'!$K$5:$K$29*'📋 ACTIVOS'!$N$5:$N$29)/SUMIF('📋 ACTIVOS'!$B$5:$B$29,"RV",'📋 ACTIVOS'!$N$5:$N$29),0)</f>
        <v>0.0573842330228419</v>
      </c>
      <c r="K27" s="149" t="n">
        <f aca="false">D27-J27</f>
        <v>0.0526157669771581</v>
      </c>
    </row>
    <row r="28" customFormat="false" ht="21.75" hidden="false" customHeight="true" outlineLevel="0" collapsed="false">
      <c r="B28" s="126" t="s">
        <v>138</v>
      </c>
      <c r="C28" s="150" t="n">
        <f aca="false">SUMIF('📋 ACTIVOS'!$B$5:$B$29,"CR",'📋 ACTIVOS'!$H$5:$H$29)/SUM('📋 ACTIVOS'!$H$5:$H$29)</f>
        <v>0.0116290284949936</v>
      </c>
      <c r="D28" s="150" t="n">
        <f aca="false">INDEX('⚙️ INPUTS'!$F$18:$F$20,3)</f>
        <v>0.18</v>
      </c>
      <c r="E28" s="151" t="n">
        <f aca="false">C28*D28</f>
        <v>0.00209322512909885</v>
      </c>
      <c r="F28" s="150" t="n">
        <f aca="false">INDEX('⚙️ INPUTS'!$G$18:$G$20,3)</f>
        <v>0.65</v>
      </c>
      <c r="G28" s="151" t="n">
        <f aca="false">C28*F28</f>
        <v>0.00755886852174585</v>
      </c>
      <c r="H28" s="152" t="n">
        <f aca="false">IFERROR((D28-'⚙️ INPUTS'!$B$5)/F28,0)</f>
        <v>0.246153846153846</v>
      </c>
      <c r="I28" s="142" t="n">
        <v>-0.78</v>
      </c>
      <c r="J28" s="153" t="n">
        <f aca="false">IFERROR(SUMPRODUCT(('📋 ACTIVOS'!$B$5:$B$29="CR")*'📋 ACTIVOS'!$K$5:$K$29*'📋 ACTIVOS'!$N$5:$N$29)/SUMIF('📋 ACTIVOS'!$B$5:$B$29,"CR",'📋 ACTIVOS'!$N$5:$N$29),0)</f>
        <v>-0.285408331659149</v>
      </c>
      <c r="K28" s="154" t="n">
        <f aca="false">D28-J28</f>
        <v>0.465408331659149</v>
      </c>
    </row>
    <row r="29" customFormat="false" ht="21.75" hidden="false" customHeight="true" outlineLevel="0" collapsed="false">
      <c r="B29" s="131" t="s">
        <v>148</v>
      </c>
      <c r="C29" s="155" t="n">
        <f aca="false">SUM(C26:C28)</f>
        <v>1</v>
      </c>
      <c r="D29" s="155" t="n">
        <f aca="false">'⚙️ INPUTS'!B25</f>
        <v>0.0854</v>
      </c>
      <c r="E29" s="135" t="n">
        <f aca="false">SUM(E26:E28)</f>
        <v>0.0803532959828141</v>
      </c>
      <c r="F29" s="155" t="n">
        <f aca="false">'⚙️ INPUTS'!B26</f>
        <v>0.0574042681339985</v>
      </c>
      <c r="G29" s="135" t="n">
        <f aca="false">SUM(G26:G28)</f>
        <v>0.0720474902149492</v>
      </c>
      <c r="H29" s="136" t="n">
        <f aca="false">'⚙️ INPUTS'!B27</f>
        <v>1.13928810741628</v>
      </c>
      <c r="I29" s="155" t="n">
        <f aca="false">MIN(I26:I28)</f>
        <v>-0.78</v>
      </c>
      <c r="J29" s="156" t="n">
        <f aca="false">IFERROR(SUMPRODUCT('📋 ACTIVOS'!$H$5:$H$29*'📋 ACTIVOS'!$K$5:$K$29)/SUM('📋 ACTIVOS'!$H$5:$H$29),0)</f>
        <v>0.0145774582915859</v>
      </c>
      <c r="K29" s="156" t="n">
        <f aca="false">D29-J29</f>
        <v>0.0708225417084141</v>
      </c>
    </row>
    <row r="30" customFormat="false" ht="9.75" hidden="false" customHeight="true" outlineLevel="0" collapsed="false"/>
    <row r="31" customFormat="false" ht="19.5" hidden="false" customHeight="true" outlineLevel="0" collapsed="false">
      <c r="A31" s="157" t="s">
        <v>149</v>
      </c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</row>
  </sheetData>
  <mergeCells count="56">
    <mergeCell ref="A1:P1"/>
    <mergeCell ref="A2:P2"/>
    <mergeCell ref="B4:E4"/>
    <mergeCell ref="G4:J4"/>
    <mergeCell ref="L4:O4"/>
    <mergeCell ref="B5:E5"/>
    <mergeCell ref="F5:I5"/>
    <mergeCell ref="G5:J5"/>
    <mergeCell ref="J5:M5"/>
    <mergeCell ref="L5:O5"/>
    <mergeCell ref="N5:Q5"/>
    <mergeCell ref="B6:E6"/>
    <mergeCell ref="F6:I6"/>
    <mergeCell ref="G6:J6"/>
    <mergeCell ref="J6:M6"/>
    <mergeCell ref="L6:O6"/>
    <mergeCell ref="N6:Q6"/>
    <mergeCell ref="B7:E7"/>
    <mergeCell ref="F7:I7"/>
    <mergeCell ref="G7:J7"/>
    <mergeCell ref="J7:M7"/>
    <mergeCell ref="L7:O7"/>
    <mergeCell ref="N7:Q7"/>
    <mergeCell ref="B8:E8"/>
    <mergeCell ref="F8:I8"/>
    <mergeCell ref="J8:M8"/>
    <mergeCell ref="N8:Q8"/>
    <mergeCell ref="B9:E9"/>
    <mergeCell ref="G9:J9"/>
    <mergeCell ref="L9:O9"/>
    <mergeCell ref="B10:E10"/>
    <mergeCell ref="G10:J10"/>
    <mergeCell ref="L10:O10"/>
    <mergeCell ref="B11:E11"/>
    <mergeCell ref="F11:I11"/>
    <mergeCell ref="G11:J11"/>
    <mergeCell ref="J11:M11"/>
    <mergeCell ref="L11:O11"/>
    <mergeCell ref="N11:Q11"/>
    <mergeCell ref="B12:E12"/>
    <mergeCell ref="F12:I12"/>
    <mergeCell ref="G12:J12"/>
    <mergeCell ref="J12:M12"/>
    <mergeCell ref="L12:O12"/>
    <mergeCell ref="N12:Q12"/>
    <mergeCell ref="B13:E13"/>
    <mergeCell ref="F13:I13"/>
    <mergeCell ref="J13:M13"/>
    <mergeCell ref="N13:Q13"/>
    <mergeCell ref="B14:E14"/>
    <mergeCell ref="F14:I14"/>
    <mergeCell ref="J14:M14"/>
    <mergeCell ref="N14:Q14"/>
    <mergeCell ref="A17:P17"/>
    <mergeCell ref="A24:P24"/>
    <mergeCell ref="A31:P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9" min="2" style="1" width="14"/>
  </cols>
  <sheetData>
    <row r="1" customFormat="false" ht="33.75" hidden="false" customHeight="true" outlineLevel="0" collapsed="false">
      <c r="A1" s="158" t="s">
        <v>150</v>
      </c>
      <c r="B1" s="158"/>
      <c r="C1" s="158"/>
      <c r="D1" s="158"/>
      <c r="E1" s="158"/>
      <c r="F1" s="158"/>
      <c r="G1" s="158"/>
      <c r="H1" s="158"/>
      <c r="I1" s="158"/>
    </row>
    <row r="2" customFormat="false" ht="19.5" hidden="false" customHeight="true" outlineLevel="0" collapsed="false">
      <c r="A2" s="159" t="s">
        <v>151</v>
      </c>
      <c r="B2" s="159"/>
      <c r="C2" s="159"/>
      <c r="D2" s="159"/>
      <c r="E2" s="159"/>
      <c r="F2" s="159"/>
      <c r="G2" s="159"/>
      <c r="H2" s="159"/>
      <c r="I2" s="159"/>
    </row>
    <row r="3" customFormat="false" ht="7.5" hidden="false" customHeight="true" outlineLevel="0" collapsed="false"/>
    <row r="4" customFormat="false" ht="21.75" hidden="false" customHeight="true" outlineLevel="0" collapsed="false">
      <c r="A4" s="160" t="s">
        <v>152</v>
      </c>
      <c r="B4" s="160" t="s">
        <v>131</v>
      </c>
      <c r="C4" s="160" t="s">
        <v>153</v>
      </c>
      <c r="D4" s="160" t="s">
        <v>154</v>
      </c>
      <c r="E4" s="160" t="s">
        <v>155</v>
      </c>
      <c r="F4" s="160" t="s">
        <v>156</v>
      </c>
      <c r="G4" s="160" t="s">
        <v>157</v>
      </c>
      <c r="H4" s="160" t="s">
        <v>135</v>
      </c>
      <c r="I4" s="160" t="s">
        <v>158</v>
      </c>
    </row>
    <row r="5" customFormat="false" ht="19.5" hidden="false" customHeight="true" outlineLevel="0" collapsed="false">
      <c r="A5" s="161" t="s">
        <v>92</v>
      </c>
      <c r="B5" s="162" t="s">
        <v>91</v>
      </c>
      <c r="C5" s="163" t="n">
        <f aca="false">'📋 ACTIVOS'!J5</f>
        <v>0.151408872901679</v>
      </c>
      <c r="D5" s="163" t="n">
        <f aca="false">'📋 ACTIVOS'!K5</f>
        <v>0.0039</v>
      </c>
      <c r="E5" s="163" t="n">
        <f aca="false">'📋 ACTIVOS'!L5</f>
        <v>0.0015</v>
      </c>
      <c r="F5" s="57" t="n">
        <f aca="false">INDEX('⚙️ INPUTS'!$F$18:$F$20,1)</f>
        <v>0.07</v>
      </c>
      <c r="G5" s="57" t="n">
        <f aca="false">INDEX('⚙️ INPUTS'!$G$18:$G$20,1)</f>
        <v>0.04</v>
      </c>
      <c r="H5" s="120" t="n">
        <f aca="false">IFERROR((INDEX('⚙️ INPUTS'!$F$18:$F$20,1)-'⚙️ INPUTS'!$B$5)/(INDEX('⚙️ INPUTS'!$G$18:$G$20,1)),0)</f>
        <v>1.25</v>
      </c>
      <c r="I5" s="164" t="n">
        <v>-0.08</v>
      </c>
    </row>
    <row r="6" customFormat="false" ht="19.5" hidden="false" customHeight="true" outlineLevel="0" collapsed="false">
      <c r="A6" s="165" t="s">
        <v>93</v>
      </c>
      <c r="B6" s="166" t="s">
        <v>91</v>
      </c>
      <c r="C6" s="167" t="n">
        <f aca="false">'📋 ACTIVOS'!J6</f>
        <v>0.0212115732368897</v>
      </c>
      <c r="D6" s="167" t="n">
        <f aca="false">'📋 ACTIVOS'!K6</f>
        <v>0.0092</v>
      </c>
      <c r="E6" s="167" t="n">
        <f aca="false">'📋 ACTIVOS'!L6</f>
        <v>0.0033</v>
      </c>
      <c r="F6" s="64" t="n">
        <f aca="false">INDEX('⚙️ INPUTS'!$F$18:$F$20,1)</f>
        <v>0.07</v>
      </c>
      <c r="G6" s="64" t="n">
        <f aca="false">INDEX('⚙️ INPUTS'!$G$18:$G$20,1)</f>
        <v>0.04</v>
      </c>
      <c r="H6" s="168" t="n">
        <f aca="false">IFERROR((INDEX('⚙️ INPUTS'!$F$18:$F$20,1)-'⚙️ INPUTS'!$B$5)/(INDEX('⚙️ INPUTS'!$G$18:$G$20,1)),0)</f>
        <v>1.25</v>
      </c>
      <c r="I6" s="169" t="n">
        <v>-0.08</v>
      </c>
    </row>
    <row r="7" customFormat="false" ht="19.5" hidden="false" customHeight="true" outlineLevel="0" collapsed="false">
      <c r="A7" s="161" t="s">
        <v>94</v>
      </c>
      <c r="B7" s="162" t="s">
        <v>91</v>
      </c>
      <c r="C7" s="163" t="n">
        <f aca="false">'📋 ACTIVOS'!J7</f>
        <v>0.0839347408829174</v>
      </c>
      <c r="D7" s="163" t="n">
        <f aca="false">'📋 ACTIVOS'!K7</f>
        <v>0.0092</v>
      </c>
      <c r="E7" s="163" t="n">
        <f aca="false">'📋 ACTIVOS'!L7</f>
        <v>0.0033</v>
      </c>
      <c r="F7" s="57" t="n">
        <f aca="false">INDEX('⚙️ INPUTS'!$F$18:$F$20,1)</f>
        <v>0.07</v>
      </c>
      <c r="G7" s="57" t="n">
        <f aca="false">INDEX('⚙️ INPUTS'!$G$18:$G$20,1)</f>
        <v>0.04</v>
      </c>
      <c r="H7" s="120" t="n">
        <f aca="false">IFERROR((INDEX('⚙️ INPUTS'!$F$18:$F$20,1)-'⚙️ INPUTS'!$B$5)/(INDEX('⚙️ INPUTS'!$G$18:$G$20,1)),0)</f>
        <v>1.25</v>
      </c>
      <c r="I7" s="164" t="n">
        <v>-0.08</v>
      </c>
    </row>
    <row r="8" customFormat="false" ht="19.5" hidden="false" customHeight="true" outlineLevel="0" collapsed="false">
      <c r="A8" s="165" t="s">
        <v>95</v>
      </c>
      <c r="B8" s="166" t="s">
        <v>91</v>
      </c>
      <c r="C8" s="167" t="n">
        <f aca="false">'📋 ACTIVOS'!J8</f>
        <v>0.031257928118393</v>
      </c>
      <c r="D8" s="167" t="n">
        <f aca="false">'📋 ACTIVOS'!K8</f>
        <v>0.0026</v>
      </c>
      <c r="E8" s="167" t="n">
        <f aca="false">'📋 ACTIVOS'!L8</f>
        <v>0.001</v>
      </c>
      <c r="F8" s="64" t="n">
        <f aca="false">INDEX('⚙️ INPUTS'!$F$18:$F$20,1)</f>
        <v>0.07</v>
      </c>
      <c r="G8" s="64" t="n">
        <f aca="false">INDEX('⚙️ INPUTS'!$G$18:$G$20,1)</f>
        <v>0.04</v>
      </c>
      <c r="H8" s="168" t="n">
        <f aca="false">IFERROR((INDEX('⚙️ INPUTS'!$F$18:$F$20,1)-'⚙️ INPUTS'!$B$5)/(INDEX('⚙️ INPUTS'!$G$18:$G$20,1)),0)</f>
        <v>1.25</v>
      </c>
      <c r="I8" s="169" t="n">
        <v>-0.08</v>
      </c>
    </row>
    <row r="9" customFormat="false" ht="19.5" hidden="false" customHeight="true" outlineLevel="0" collapsed="false">
      <c r="A9" s="170" t="s">
        <v>97</v>
      </c>
      <c r="B9" s="171" t="s">
        <v>96</v>
      </c>
      <c r="C9" s="172" t="n">
        <f aca="false">'📋 ACTIVOS'!J9</f>
        <v>-0.00263870564544117</v>
      </c>
      <c r="D9" s="172" t="n">
        <f aca="false">'📋 ACTIVOS'!K9</f>
        <v>-0.0037</v>
      </c>
      <c r="E9" s="172" t="n">
        <f aca="false">'📋 ACTIVOS'!L9</f>
        <v>-0.0271</v>
      </c>
      <c r="F9" s="71" t="n">
        <f aca="false">INDEX('⚙️ INPUTS'!$F$18:$F$20,2)</f>
        <v>0.11</v>
      </c>
      <c r="G9" s="71" t="n">
        <f aca="false">INDEX('⚙️ INPUTS'!$G$18:$G$20,2)</f>
        <v>0.15</v>
      </c>
      <c r="H9" s="125" t="n">
        <f aca="false">IFERROR((INDEX('⚙️ INPUTS'!$F$18:$F$20,2)-'⚙️ INPUTS'!$B$5)/(INDEX('⚙️ INPUTS'!$G$18:$G$20,2)),0)</f>
        <v>0.6</v>
      </c>
      <c r="I9" s="173" t="n">
        <v>-0.3</v>
      </c>
    </row>
    <row r="10" customFormat="false" ht="19.5" hidden="false" customHeight="true" outlineLevel="0" collapsed="false">
      <c r="A10" s="174" t="s">
        <v>98</v>
      </c>
      <c r="B10" s="175" t="s">
        <v>96</v>
      </c>
      <c r="C10" s="176" t="n">
        <f aca="false">'📋 ACTIVOS'!J10</f>
        <v>0.0880000000000001</v>
      </c>
      <c r="D10" s="176" t="n">
        <f aca="false">'📋 ACTIVOS'!K10</f>
        <v>0.0405</v>
      </c>
      <c r="E10" s="176" t="n">
        <f aca="false">'📋 ACTIVOS'!L10</f>
        <v>0.027</v>
      </c>
      <c r="F10" s="78" t="n">
        <f aca="false">INDEX('⚙️ INPUTS'!$F$18:$F$20,2)</f>
        <v>0.11</v>
      </c>
      <c r="G10" s="78" t="n">
        <f aca="false">INDEX('⚙️ INPUTS'!$G$18:$G$20,2)</f>
        <v>0.15</v>
      </c>
      <c r="H10" s="177" t="n">
        <f aca="false">IFERROR((INDEX('⚙️ INPUTS'!$F$18:$F$20,2)-'⚙️ INPUTS'!$B$5)/(INDEX('⚙️ INPUTS'!$G$18:$G$20,2)),0)</f>
        <v>0.6</v>
      </c>
      <c r="I10" s="178" t="n">
        <v>-0.3</v>
      </c>
    </row>
    <row r="11" customFormat="false" ht="19.5" hidden="false" customHeight="true" outlineLevel="0" collapsed="false">
      <c r="A11" s="170" t="s">
        <v>99</v>
      </c>
      <c r="B11" s="171" t="s">
        <v>96</v>
      </c>
      <c r="C11" s="172" t="n">
        <f aca="false">'📋 ACTIVOS'!J11</f>
        <v>0.127892459826947</v>
      </c>
      <c r="D11" s="172" t="n">
        <f aca="false">'📋 ACTIVOS'!K11</f>
        <v>0.0806</v>
      </c>
      <c r="E11" s="172" t="n">
        <f aca="false">'📋 ACTIVOS'!L11</f>
        <v>0.0655</v>
      </c>
      <c r="F11" s="71" t="n">
        <f aca="false">INDEX('⚙️ INPUTS'!$F$18:$F$20,2)</f>
        <v>0.11</v>
      </c>
      <c r="G11" s="71" t="n">
        <f aca="false">INDEX('⚙️ INPUTS'!$G$18:$G$20,2)</f>
        <v>0.15</v>
      </c>
      <c r="H11" s="125" t="n">
        <f aca="false">IFERROR((INDEX('⚙️ INPUTS'!$F$18:$F$20,2)-'⚙️ INPUTS'!$B$5)/(INDEX('⚙️ INPUTS'!$G$18:$G$20,2)),0)</f>
        <v>0.6</v>
      </c>
      <c r="I11" s="173" t="n">
        <v>-0.3</v>
      </c>
    </row>
    <row r="12" customFormat="false" ht="19.5" hidden="false" customHeight="true" outlineLevel="0" collapsed="false">
      <c r="A12" s="174" t="s">
        <v>100</v>
      </c>
      <c r="B12" s="175" t="s">
        <v>96</v>
      </c>
      <c r="C12" s="176" t="n">
        <f aca="false">'📋 ACTIVOS'!J12</f>
        <v>0.0384837962962962</v>
      </c>
      <c r="D12" s="176" t="n">
        <f aca="false">'📋 ACTIVOS'!K12</f>
        <v>0.0229</v>
      </c>
      <c r="E12" s="176" t="n">
        <f aca="false">'📋 ACTIVOS'!L12</f>
        <v>-0.0244</v>
      </c>
      <c r="F12" s="78" t="n">
        <f aca="false">INDEX('⚙️ INPUTS'!$F$18:$F$20,2)</f>
        <v>0.11</v>
      </c>
      <c r="G12" s="78" t="n">
        <f aca="false">INDEX('⚙️ INPUTS'!$G$18:$G$20,2)</f>
        <v>0.15</v>
      </c>
      <c r="H12" s="177" t="n">
        <f aca="false">IFERROR((INDEX('⚙️ INPUTS'!$F$18:$F$20,2)-'⚙️ INPUTS'!$B$5)/(INDEX('⚙️ INPUTS'!$G$18:$G$20,2)),0)</f>
        <v>0.6</v>
      </c>
      <c r="I12" s="178" t="n">
        <v>-0.3</v>
      </c>
    </row>
    <row r="13" customFormat="false" ht="19.5" hidden="false" customHeight="true" outlineLevel="0" collapsed="false">
      <c r="A13" s="170" t="s">
        <v>101</v>
      </c>
      <c r="B13" s="171" t="s">
        <v>96</v>
      </c>
      <c r="C13" s="172" t="n">
        <f aca="false">'📋 ACTIVOS'!J13</f>
        <v>0.0703254626675176</v>
      </c>
      <c r="D13" s="172" t="n">
        <f aca="false">'📋 ACTIVOS'!K13</f>
        <v>0.0584</v>
      </c>
      <c r="E13" s="172" t="n">
        <f aca="false">'📋 ACTIVOS'!L13</f>
        <v>0.0338</v>
      </c>
      <c r="F13" s="71" t="n">
        <f aca="false">INDEX('⚙️ INPUTS'!$F$18:$F$20,2)</f>
        <v>0.11</v>
      </c>
      <c r="G13" s="71" t="n">
        <f aca="false">INDEX('⚙️ INPUTS'!$G$18:$G$20,2)</f>
        <v>0.15</v>
      </c>
      <c r="H13" s="125" t="n">
        <f aca="false">IFERROR((INDEX('⚙️ INPUTS'!$F$18:$F$20,2)-'⚙️ INPUTS'!$B$5)/(INDEX('⚙️ INPUTS'!$G$18:$G$20,2)),0)</f>
        <v>0.6</v>
      </c>
      <c r="I13" s="173" t="n">
        <v>-0.3</v>
      </c>
    </row>
    <row r="14" customFormat="false" ht="19.5" hidden="false" customHeight="true" outlineLevel="0" collapsed="false">
      <c r="A14" s="174" t="s">
        <v>102</v>
      </c>
      <c r="B14" s="175" t="s">
        <v>96</v>
      </c>
      <c r="C14" s="176" t="n">
        <f aca="false">'📋 ACTIVOS'!J14</f>
        <v>0.162413528055342</v>
      </c>
      <c r="D14" s="176" t="n">
        <f aca="false">'📋 ACTIVOS'!K14</f>
        <v>0.1145</v>
      </c>
      <c r="E14" s="176" t="n">
        <f aca="false">'📋 ACTIVOS'!L14</f>
        <v>0.0791</v>
      </c>
      <c r="F14" s="78" t="n">
        <f aca="false">INDEX('⚙️ INPUTS'!$F$18:$F$20,2)</f>
        <v>0.11</v>
      </c>
      <c r="G14" s="78" t="n">
        <f aca="false">INDEX('⚙️ INPUTS'!$G$18:$G$20,2)</f>
        <v>0.15</v>
      </c>
      <c r="H14" s="177" t="n">
        <f aca="false">IFERROR((INDEX('⚙️ INPUTS'!$F$18:$F$20,2)-'⚙️ INPUTS'!$B$5)/(INDEX('⚙️ INPUTS'!$G$18:$G$20,2)),0)</f>
        <v>0.6</v>
      </c>
      <c r="I14" s="178" t="n">
        <v>-0.3</v>
      </c>
    </row>
    <row r="15" customFormat="false" ht="19.5" hidden="false" customHeight="true" outlineLevel="0" collapsed="false">
      <c r="A15" s="170" t="s">
        <v>103</v>
      </c>
      <c r="B15" s="171" t="s">
        <v>96</v>
      </c>
      <c r="C15" s="172" t="n">
        <f aca="false">'📋 ACTIVOS'!J15</f>
        <v>0.234530612244898</v>
      </c>
      <c r="D15" s="172" t="n">
        <f aca="false">'📋 ACTIVOS'!K15</f>
        <v>0.1283</v>
      </c>
      <c r="E15" s="172" t="n">
        <f aca="false">'📋 ACTIVOS'!L15</f>
        <v>0.0841</v>
      </c>
      <c r="F15" s="71" t="n">
        <f aca="false">INDEX('⚙️ INPUTS'!$F$18:$F$20,2)</f>
        <v>0.11</v>
      </c>
      <c r="G15" s="71" t="n">
        <f aca="false">INDEX('⚙️ INPUTS'!$G$18:$G$20,2)</f>
        <v>0.15</v>
      </c>
      <c r="H15" s="125" t="n">
        <f aca="false">IFERROR((INDEX('⚙️ INPUTS'!$F$18:$F$20,2)-'⚙️ INPUTS'!$B$5)/(INDEX('⚙️ INPUTS'!$G$18:$G$20,2)),0)</f>
        <v>0.6</v>
      </c>
      <c r="I15" s="173" t="n">
        <v>-0.3</v>
      </c>
    </row>
    <row r="16" customFormat="false" ht="19.5" hidden="false" customHeight="true" outlineLevel="0" collapsed="false">
      <c r="A16" s="174" t="s">
        <v>104</v>
      </c>
      <c r="B16" s="175" t="s">
        <v>96</v>
      </c>
      <c r="C16" s="176" t="n">
        <f aca="false">'📋 ACTIVOS'!J16</f>
        <v>0.149092088197147</v>
      </c>
      <c r="D16" s="176" t="n">
        <f aca="false">'📋 ACTIVOS'!K16</f>
        <v>0.0834</v>
      </c>
      <c r="E16" s="176" t="n">
        <f aca="false">'📋 ACTIVOS'!L16</f>
        <v>0.0412</v>
      </c>
      <c r="F16" s="78" t="n">
        <f aca="false">INDEX('⚙️ INPUTS'!$F$18:$F$20,2)</f>
        <v>0.11</v>
      </c>
      <c r="G16" s="78" t="n">
        <f aca="false">INDEX('⚙️ INPUTS'!$G$18:$G$20,2)</f>
        <v>0.15</v>
      </c>
      <c r="H16" s="177" t="n">
        <f aca="false">IFERROR((INDEX('⚙️ INPUTS'!$F$18:$F$20,2)-'⚙️ INPUTS'!$B$5)/(INDEX('⚙️ INPUTS'!$G$18:$G$20,2)),0)</f>
        <v>0.6</v>
      </c>
      <c r="I16" s="178" t="n">
        <v>-0.3</v>
      </c>
    </row>
    <row r="17" customFormat="false" ht="19.5" hidden="false" customHeight="true" outlineLevel="0" collapsed="false">
      <c r="A17" s="170" t="s">
        <v>105</v>
      </c>
      <c r="B17" s="171" t="s">
        <v>96</v>
      </c>
      <c r="C17" s="172" t="n">
        <f aca="false">'📋 ACTIVOS'!J17</f>
        <v>0.117222361494109</v>
      </c>
      <c r="D17" s="172" t="n">
        <f aca="false">'📋 ACTIVOS'!K17</f>
        <v>0.0754</v>
      </c>
      <c r="E17" s="172" t="n">
        <f aca="false">'📋 ACTIVOS'!L17</f>
        <v>0.021</v>
      </c>
      <c r="F17" s="71" t="n">
        <f aca="false">INDEX('⚙️ INPUTS'!$F$18:$F$20,2)</f>
        <v>0.11</v>
      </c>
      <c r="G17" s="71" t="n">
        <f aca="false">INDEX('⚙️ INPUTS'!$G$18:$G$20,2)</f>
        <v>0.15</v>
      </c>
      <c r="H17" s="125" t="n">
        <f aca="false">IFERROR((INDEX('⚙️ INPUTS'!$F$18:$F$20,2)-'⚙️ INPUTS'!$B$5)/(INDEX('⚙️ INPUTS'!$G$18:$G$20,2)),0)</f>
        <v>0.6</v>
      </c>
      <c r="I17" s="173" t="n">
        <v>-0.3</v>
      </c>
    </row>
    <row r="18" customFormat="false" ht="19.5" hidden="false" customHeight="true" outlineLevel="0" collapsed="false">
      <c r="A18" s="174" t="s">
        <v>106</v>
      </c>
      <c r="B18" s="175" t="s">
        <v>96</v>
      </c>
      <c r="C18" s="176" t="n">
        <f aca="false">'📋 ACTIVOS'!J18</f>
        <v>0.0915236875800258</v>
      </c>
      <c r="D18" s="176" t="n">
        <f aca="false">'📋 ACTIVOS'!K18</f>
        <v>0.035</v>
      </c>
      <c r="E18" s="176" t="n">
        <f aca="false">'📋 ACTIVOS'!L18</f>
        <v>0.0449</v>
      </c>
      <c r="F18" s="78" t="n">
        <f aca="false">INDEX('⚙️ INPUTS'!$F$18:$F$20,2)</f>
        <v>0.11</v>
      </c>
      <c r="G18" s="78" t="n">
        <f aca="false">INDEX('⚙️ INPUTS'!$G$18:$G$20,2)</f>
        <v>0.15</v>
      </c>
      <c r="H18" s="177" t="n">
        <f aca="false">IFERROR((INDEX('⚙️ INPUTS'!$F$18:$F$20,2)-'⚙️ INPUTS'!$B$5)/(INDEX('⚙️ INPUTS'!$G$18:$G$20,2)),0)</f>
        <v>0.6</v>
      </c>
      <c r="I18" s="178" t="n">
        <v>-0.3</v>
      </c>
    </row>
    <row r="19" customFormat="false" ht="19.5" hidden="false" customHeight="true" outlineLevel="0" collapsed="false">
      <c r="A19" s="170" t="s">
        <v>107</v>
      </c>
      <c r="B19" s="171" t="s">
        <v>96</v>
      </c>
      <c r="C19" s="172" t="n">
        <f aca="false">'📋 ACTIVOS'!J19</f>
        <v>0.28579185520362</v>
      </c>
      <c r="D19" s="172" t="n">
        <f aca="false">'📋 ACTIVOS'!K19</f>
        <v>0.0375</v>
      </c>
      <c r="E19" s="172" t="n">
        <f aca="false">'📋 ACTIVOS'!L19</f>
        <v>0.0481</v>
      </c>
      <c r="F19" s="71" t="n">
        <f aca="false">INDEX('⚙️ INPUTS'!$F$18:$F$20,2)</f>
        <v>0.11</v>
      </c>
      <c r="G19" s="71" t="n">
        <f aca="false">INDEX('⚙️ INPUTS'!$G$18:$G$20,2)</f>
        <v>0.15</v>
      </c>
      <c r="H19" s="125" t="n">
        <f aca="false">IFERROR((INDEX('⚙️ INPUTS'!$F$18:$F$20,2)-'⚙️ INPUTS'!$B$5)/(INDEX('⚙️ INPUTS'!$G$18:$G$20,2)),0)</f>
        <v>0.6</v>
      </c>
      <c r="I19" s="173" t="n">
        <v>-0.3</v>
      </c>
    </row>
    <row r="20" customFormat="false" ht="19.5" hidden="false" customHeight="true" outlineLevel="0" collapsed="false">
      <c r="A20" s="174" t="s">
        <v>108</v>
      </c>
      <c r="B20" s="175" t="s">
        <v>96</v>
      </c>
      <c r="C20" s="176" t="n">
        <f aca="false">'📋 ACTIVOS'!J20</f>
        <v>0.0635481481481483</v>
      </c>
      <c r="D20" s="176" t="n">
        <f aca="false">'📋 ACTIVOS'!K20</f>
        <v>-0.0038</v>
      </c>
      <c r="E20" s="176" t="n">
        <f aca="false">'📋 ACTIVOS'!L20</f>
        <v>0.0007</v>
      </c>
      <c r="F20" s="78" t="n">
        <f aca="false">INDEX('⚙️ INPUTS'!$F$18:$F$20,2)</f>
        <v>0.11</v>
      </c>
      <c r="G20" s="78" t="n">
        <f aca="false">INDEX('⚙️ INPUTS'!$G$18:$G$20,2)</f>
        <v>0.15</v>
      </c>
      <c r="H20" s="177" t="n">
        <f aca="false">IFERROR((INDEX('⚙️ INPUTS'!$F$18:$F$20,2)-'⚙️ INPUTS'!$B$5)/(INDEX('⚙️ INPUTS'!$G$18:$G$20,2)),0)</f>
        <v>0.6</v>
      </c>
      <c r="I20" s="178" t="n">
        <v>-0.3</v>
      </c>
    </row>
    <row r="21" customFormat="false" ht="19.5" hidden="false" customHeight="true" outlineLevel="0" collapsed="false">
      <c r="A21" s="170" t="s">
        <v>109</v>
      </c>
      <c r="B21" s="171" t="s">
        <v>96</v>
      </c>
      <c r="C21" s="172" t="n">
        <f aca="false">'📋 ACTIVOS'!J21</f>
        <v>0.0851585261353898</v>
      </c>
      <c r="D21" s="172" t="n">
        <f aca="false">'📋 ACTIVOS'!K21</f>
        <v>0.0161</v>
      </c>
      <c r="E21" s="172" t="n">
        <f aca="false">'📋 ACTIVOS'!L21</f>
        <v>0.0122</v>
      </c>
      <c r="F21" s="71" t="n">
        <f aca="false">INDEX('⚙️ INPUTS'!$F$18:$F$20,2)</f>
        <v>0.11</v>
      </c>
      <c r="G21" s="71" t="n">
        <f aca="false">INDEX('⚙️ INPUTS'!$G$18:$G$20,2)</f>
        <v>0.15</v>
      </c>
      <c r="H21" s="125" t="n">
        <f aca="false">IFERROR((INDEX('⚙️ INPUTS'!$F$18:$F$20,2)-'⚙️ INPUTS'!$B$5)/(INDEX('⚙️ INPUTS'!$G$18:$G$20,2)),0)</f>
        <v>0.6</v>
      </c>
      <c r="I21" s="173" t="n">
        <v>-0.3</v>
      </c>
    </row>
    <row r="22" customFormat="false" ht="19.5" hidden="false" customHeight="true" outlineLevel="0" collapsed="false">
      <c r="A22" s="179" t="s">
        <v>111</v>
      </c>
      <c r="B22" s="180" t="s">
        <v>110</v>
      </c>
      <c r="C22" s="181" t="n">
        <f aca="false">'📋 ACTIVOS'!J22</f>
        <v>-0.345900943396226</v>
      </c>
      <c r="D22" s="181" t="n">
        <f aca="false">'📋 ACTIVOS'!K22</f>
        <v>-0.2473</v>
      </c>
      <c r="E22" s="181" t="n">
        <f aca="false">'📋 ACTIVOS'!L22</f>
        <v>-0.1455</v>
      </c>
      <c r="F22" s="85" t="n">
        <f aca="false">INDEX('⚙️ INPUTS'!$F$18:$F$20,3)</f>
        <v>0.18</v>
      </c>
      <c r="G22" s="85" t="n">
        <f aca="false">INDEX('⚙️ INPUTS'!$G$18:$G$20,3)</f>
        <v>0.65</v>
      </c>
      <c r="H22" s="182" t="n">
        <f aca="false">IFERROR((INDEX('⚙️ INPUTS'!$F$18:$F$20,3)-'⚙️ INPUTS'!$B$5)/(INDEX('⚙️ INPUTS'!$G$18:$G$20,3)),0)</f>
        <v>0.246153846153846</v>
      </c>
      <c r="I22" s="183" t="n">
        <v>-0.78</v>
      </c>
    </row>
    <row r="23" customFormat="false" ht="19.5" hidden="false" customHeight="true" outlineLevel="0" collapsed="false">
      <c r="A23" s="184" t="s">
        <v>112</v>
      </c>
      <c r="B23" s="185" t="s">
        <v>110</v>
      </c>
      <c r="C23" s="186" t="n">
        <f aca="false">'📋 ACTIVOS'!J23</f>
        <v>-0.653101886792453</v>
      </c>
      <c r="D23" s="186" t="n">
        <f aca="false">'📋 ACTIVOS'!K23</f>
        <v>-0.3455</v>
      </c>
      <c r="E23" s="186" t="n">
        <f aca="false">'📋 ACTIVOS'!L23</f>
        <v>-0.19</v>
      </c>
      <c r="F23" s="92" t="n">
        <f aca="false">INDEX('⚙️ INPUTS'!$F$18:$F$20,3)</f>
        <v>0.18</v>
      </c>
      <c r="G23" s="92" t="n">
        <f aca="false">INDEX('⚙️ INPUTS'!$G$18:$G$20,3)</f>
        <v>0.65</v>
      </c>
      <c r="H23" s="130" t="n">
        <f aca="false">IFERROR((INDEX('⚙️ INPUTS'!$F$18:$F$20,3)-'⚙️ INPUTS'!$B$5)/(INDEX('⚙️ INPUTS'!$G$18:$G$20,3)),0)</f>
        <v>0.246153846153846</v>
      </c>
      <c r="I23" s="187" t="n">
        <v>-0.78</v>
      </c>
    </row>
    <row r="24" customFormat="false" ht="19.5" hidden="false" customHeight="true" outlineLevel="0" collapsed="false">
      <c r="A24" s="179" t="s">
        <v>113</v>
      </c>
      <c r="B24" s="180" t="s">
        <v>110</v>
      </c>
      <c r="C24" s="181" t="n">
        <f aca="false">'📋 ACTIVOS'!J24</f>
        <v>-0.511938903863432</v>
      </c>
      <c r="D24" s="181" t="n">
        <f aca="false">'📋 ACTIVOS'!K24</f>
        <v>-0.3344</v>
      </c>
      <c r="E24" s="181" t="n">
        <f aca="false">'📋 ACTIVOS'!L24</f>
        <v>-0.2061</v>
      </c>
      <c r="F24" s="85" t="n">
        <f aca="false">INDEX('⚙️ INPUTS'!$F$18:$F$20,3)</f>
        <v>0.18</v>
      </c>
      <c r="G24" s="85" t="n">
        <f aca="false">INDEX('⚙️ INPUTS'!$G$18:$G$20,3)</f>
        <v>0.65</v>
      </c>
      <c r="H24" s="182" t="n">
        <f aca="false">IFERROR((INDEX('⚙️ INPUTS'!$F$18:$F$20,3)-'⚙️ INPUTS'!$B$5)/(INDEX('⚙️ INPUTS'!$G$18:$G$20,3)),0)</f>
        <v>0.246153846153846</v>
      </c>
      <c r="I24" s="183" t="n">
        <v>-0.78</v>
      </c>
    </row>
    <row r="25" customFormat="false" ht="19.5" hidden="false" customHeight="true" outlineLevel="0" collapsed="false">
      <c r="A25" s="184" t="s">
        <v>114</v>
      </c>
      <c r="B25" s="185" t="s">
        <v>110</v>
      </c>
      <c r="C25" s="186" t="n">
        <f aca="false">'📋 ACTIVOS'!J25</f>
        <v>-0.799</v>
      </c>
      <c r="D25" s="186" t="n">
        <f aca="false">'📋 ACTIVOS'!K25</f>
        <v>0.0485</v>
      </c>
      <c r="E25" s="186" t="n">
        <f aca="false">'📋 ACTIVOS'!L25</f>
        <v>-0.2445</v>
      </c>
      <c r="F25" s="92" t="n">
        <f aca="false">INDEX('⚙️ INPUTS'!$F$18:$F$20,3)</f>
        <v>0.18</v>
      </c>
      <c r="G25" s="92" t="n">
        <f aca="false">INDEX('⚙️ INPUTS'!$G$18:$G$20,3)</f>
        <v>0.65</v>
      </c>
      <c r="H25" s="130" t="n">
        <f aca="false">IFERROR((INDEX('⚙️ INPUTS'!$F$18:$F$20,3)-'⚙️ INPUTS'!$B$5)/(INDEX('⚙️ INPUTS'!$G$18:$G$20,3)),0)</f>
        <v>0.246153846153846</v>
      </c>
      <c r="I25" s="187" t="n">
        <v>-0.78</v>
      </c>
    </row>
    <row r="26" customFormat="false" ht="19.5" hidden="false" customHeight="true" outlineLevel="0" collapsed="false">
      <c r="A26" s="179" t="s">
        <v>115</v>
      </c>
      <c r="B26" s="180" t="s">
        <v>110</v>
      </c>
      <c r="C26" s="181" t="n">
        <f aca="false">'📋 ACTIVOS'!J26</f>
        <v>-0.782333333333333</v>
      </c>
      <c r="D26" s="181" t="n">
        <f aca="false">'📋 ACTIVOS'!K26</f>
        <v>-0.2472</v>
      </c>
      <c r="E26" s="181" t="n">
        <f aca="false">'📋 ACTIVOS'!L26</f>
        <v>-0.1511</v>
      </c>
      <c r="F26" s="85" t="n">
        <f aca="false">INDEX('⚙️ INPUTS'!$F$18:$F$20,3)</f>
        <v>0.18</v>
      </c>
      <c r="G26" s="85" t="n">
        <f aca="false">INDEX('⚙️ INPUTS'!$G$18:$G$20,3)</f>
        <v>0.65</v>
      </c>
      <c r="H26" s="182" t="n">
        <f aca="false">IFERROR((INDEX('⚙️ INPUTS'!$F$18:$F$20,3)-'⚙️ INPUTS'!$B$5)/(INDEX('⚙️ INPUTS'!$G$18:$G$20,3)),0)</f>
        <v>0.246153846153846</v>
      </c>
      <c r="I26" s="183" t="n">
        <v>-0.78</v>
      </c>
    </row>
    <row r="27" customFormat="false" ht="19.5" hidden="false" customHeight="true" outlineLevel="0" collapsed="false">
      <c r="A27" s="184" t="s">
        <v>116</v>
      </c>
      <c r="B27" s="185" t="s">
        <v>110</v>
      </c>
      <c r="C27" s="186" t="n">
        <f aca="false">'📋 ACTIVOS'!J27</f>
        <v>-0.661</v>
      </c>
      <c r="D27" s="186" t="n">
        <f aca="false">'📋 ACTIVOS'!K27</f>
        <v>-0.4656</v>
      </c>
      <c r="E27" s="186" t="n">
        <f aca="false">'📋 ACTIVOS'!L27</f>
        <v>-0.2585</v>
      </c>
      <c r="F27" s="92" t="n">
        <f aca="false">INDEX('⚙️ INPUTS'!$F$18:$F$20,3)</f>
        <v>0.18</v>
      </c>
      <c r="G27" s="92" t="n">
        <f aca="false">INDEX('⚙️ INPUTS'!$G$18:$G$20,3)</f>
        <v>0.65</v>
      </c>
      <c r="H27" s="130" t="n">
        <f aca="false">IFERROR((INDEX('⚙️ INPUTS'!$F$18:$F$20,3)-'⚙️ INPUTS'!$B$5)/(INDEX('⚙️ INPUTS'!$G$18:$G$20,3)),0)</f>
        <v>0.246153846153846</v>
      </c>
      <c r="I27" s="187" t="n">
        <v>-0.78</v>
      </c>
    </row>
    <row r="28" customFormat="false" ht="19.5" hidden="false" customHeight="true" outlineLevel="0" collapsed="false">
      <c r="A28" s="179" t="s">
        <v>117</v>
      </c>
      <c r="B28" s="180" t="s">
        <v>110</v>
      </c>
      <c r="C28" s="181" t="n">
        <f aca="false">'📋 ACTIVOS'!J28</f>
        <v>-0.568857142857143</v>
      </c>
      <c r="D28" s="181" t="n">
        <f aca="false">'📋 ACTIVOS'!K28</f>
        <v>-0.2977</v>
      </c>
      <c r="E28" s="181" t="n">
        <f aca="false">'📋 ACTIVOS'!L28</f>
        <v>-0.076</v>
      </c>
      <c r="F28" s="85" t="n">
        <f aca="false">INDEX('⚙️ INPUTS'!$F$18:$F$20,3)</f>
        <v>0.18</v>
      </c>
      <c r="G28" s="85" t="n">
        <f aca="false">INDEX('⚙️ INPUTS'!$G$18:$G$20,3)</f>
        <v>0.65</v>
      </c>
      <c r="H28" s="182" t="n">
        <f aca="false">IFERROR((INDEX('⚙️ INPUTS'!$F$18:$F$20,3)-'⚙️ INPUTS'!$B$5)/(INDEX('⚙️ INPUTS'!$G$18:$G$20,3)),0)</f>
        <v>0.246153846153846</v>
      </c>
      <c r="I28" s="183" t="n">
        <v>-0.78</v>
      </c>
    </row>
    <row r="29" customFormat="false" ht="19.5" hidden="false" customHeight="true" outlineLevel="0" collapsed="false">
      <c r="A29" s="184" t="s">
        <v>118</v>
      </c>
      <c r="B29" s="185" t="s">
        <v>110</v>
      </c>
      <c r="C29" s="186" t="n">
        <f aca="false">'📋 ACTIVOS'!J29</f>
        <v>-0.384477243567137</v>
      </c>
      <c r="D29" s="186" t="n">
        <f aca="false">'📋 ACTIVOS'!K29</f>
        <v>-0.2336</v>
      </c>
      <c r="E29" s="186" t="n">
        <f aca="false">'📋 ACTIVOS'!L29</f>
        <v>-0.1382</v>
      </c>
      <c r="F29" s="92" t="n">
        <f aca="false">INDEX('⚙️ INPUTS'!$F$18:$F$20,3)</f>
        <v>0.18</v>
      </c>
      <c r="G29" s="92" t="n">
        <f aca="false">INDEX('⚙️ INPUTS'!$G$18:$G$20,3)</f>
        <v>0.65</v>
      </c>
      <c r="H29" s="130" t="n">
        <f aca="false">IFERROR((INDEX('⚙️ INPUTS'!$F$18:$F$20,3)-'⚙️ INPUTS'!$B$5)/(INDEX('⚙️ INPUTS'!$G$18:$G$20,3)),0)</f>
        <v>0.246153846153846</v>
      </c>
      <c r="I29" s="187" t="n">
        <v>-0.78</v>
      </c>
    </row>
    <row r="30" customFormat="false" ht="24" hidden="false" customHeight="true" outlineLevel="0" collapsed="false">
      <c r="A30" s="131" t="s">
        <v>148</v>
      </c>
      <c r="C30" s="188" t="n">
        <f aca="false">'📋 ACTIVOS'!J30</f>
        <v>0.0839354443329977</v>
      </c>
      <c r="D30" s="188" t="n">
        <f aca="false">'📋 ACTIVOS'!K30</f>
        <v>0.0145774582915859</v>
      </c>
      <c r="E30" s="188" t="n">
        <f aca="false">'📋 ACTIVOS'!L30</f>
        <v>0.00908733142634698</v>
      </c>
      <c r="F30" s="189" t="n">
        <f aca="false">'⚙️ INPUTS'!B25</f>
        <v>0.0854</v>
      </c>
      <c r="G30" s="189" t="n">
        <f aca="false">'⚙️ INPUTS'!B26</f>
        <v>0.0574042681339985</v>
      </c>
      <c r="H30" s="190" t="n">
        <f aca="false">'⚙️ INPUTS'!B27</f>
        <v>1.13928810741628</v>
      </c>
      <c r="I30" s="191" t="n">
        <f aca="false">MIN(E5:E29)</f>
        <v>-0.2585</v>
      </c>
    </row>
    <row r="31" customFormat="false" ht="9.75" hidden="false" customHeight="true" outlineLevel="0" collapsed="false"/>
    <row r="32" customFormat="false" ht="18" hidden="false" customHeight="true" outlineLevel="0" collapsed="false">
      <c r="A32" s="192" t="s">
        <v>159</v>
      </c>
      <c r="B32" s="192"/>
      <c r="C32" s="192"/>
      <c r="D32" s="192"/>
      <c r="E32" s="192"/>
      <c r="F32" s="192"/>
      <c r="G32" s="192"/>
      <c r="H32" s="192"/>
      <c r="I32" s="192"/>
    </row>
    <row r="33" customFormat="false" ht="18" hidden="false" customHeight="true" outlineLevel="0" collapsed="false">
      <c r="A33" s="192" t="s">
        <v>160</v>
      </c>
      <c r="B33" s="192"/>
      <c r="C33" s="192"/>
      <c r="D33" s="192"/>
      <c r="E33" s="192"/>
      <c r="F33" s="192"/>
      <c r="G33" s="192"/>
      <c r="H33" s="192"/>
      <c r="I33" s="192"/>
    </row>
    <row r="34" customFormat="false" ht="18" hidden="false" customHeight="true" outlineLevel="0" collapsed="false">
      <c r="A34" s="192" t="s">
        <v>161</v>
      </c>
      <c r="B34" s="192"/>
      <c r="C34" s="192"/>
      <c r="D34" s="192"/>
      <c r="E34" s="192"/>
      <c r="F34" s="192"/>
      <c r="G34" s="192"/>
      <c r="H34" s="192"/>
      <c r="I34" s="192"/>
    </row>
  </sheetData>
  <mergeCells count="5">
    <mergeCell ref="A1:I1"/>
    <mergeCell ref="A2:I2"/>
    <mergeCell ref="A32:I32"/>
    <mergeCell ref="A33:I33"/>
    <mergeCell ref="A34:I34"/>
  </mergeCells>
  <conditionalFormatting sqref="C5:C29">
    <cfRule type="colorScale" priority="2">
      <colorScale>
        <cfvo type="min" val="0"/>
        <cfvo type="num" val="0"/>
        <cfvo type="max" val="0"/>
        <color rgb="FFFF4757"/>
        <color rgb="FFFFFFFF"/>
        <color rgb="FF00C47A"/>
      </colorScale>
    </cfRule>
  </conditionalFormatting>
  <conditionalFormatting sqref="D5:D29">
    <cfRule type="colorScale" priority="3">
      <colorScale>
        <cfvo type="min" val="0"/>
        <cfvo type="num" val="0"/>
        <cfvo type="max" val="0"/>
        <color rgb="FFFF4757"/>
        <color rgb="FFFFFFFF"/>
        <color rgb="FF00C47A"/>
      </colorScale>
    </cfRule>
  </conditionalFormatting>
  <conditionalFormatting sqref="E5:E29">
    <cfRule type="colorScale" priority="4">
      <colorScale>
        <cfvo type="min" val="0"/>
        <cfvo type="num" val="0"/>
        <cfvo type="max" val="0"/>
        <color rgb="FFFF4757"/>
        <color rgb="FFFFFFFF"/>
        <color rgb="FF00C47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8"/>
  </cols>
  <sheetData>
    <row r="1" customFormat="false" ht="33.75" hidden="false" customHeight="true" outlineLevel="0" collapsed="false">
      <c r="A1" s="193" t="s">
        <v>162</v>
      </c>
      <c r="B1" s="193"/>
      <c r="C1" s="193"/>
      <c r="D1" s="193"/>
      <c r="E1" s="193"/>
      <c r="F1" s="193"/>
      <c r="G1" s="193"/>
    </row>
    <row r="2" customFormat="false" ht="9.75" hidden="false" customHeight="true" outlineLevel="0" collapsed="false"/>
    <row r="3" customFormat="false" ht="21.75" hidden="false" customHeight="true" outlineLevel="0" collapsed="false">
      <c r="A3" s="194" t="s">
        <v>163</v>
      </c>
      <c r="B3" s="194"/>
      <c r="C3" s="194"/>
      <c r="D3" s="194"/>
      <c r="E3" s="194"/>
      <c r="F3" s="194"/>
      <c r="G3" s="194"/>
    </row>
    <row r="4" customFormat="false" ht="21.75" hidden="false" customHeight="true" outlineLevel="0" collapsed="false">
      <c r="A4" s="195" t="s">
        <v>164</v>
      </c>
      <c r="B4" s="195" t="s">
        <v>165</v>
      </c>
      <c r="C4" s="195" t="s">
        <v>166</v>
      </c>
      <c r="D4" s="195" t="s">
        <v>167</v>
      </c>
      <c r="E4" s="195" t="s">
        <v>168</v>
      </c>
      <c r="F4" s="195" t="s">
        <v>169</v>
      </c>
      <c r="G4" s="195" t="s">
        <v>170</v>
      </c>
    </row>
    <row r="5" customFormat="false" ht="21.75" hidden="false" customHeight="true" outlineLevel="0" collapsed="false">
      <c r="A5" s="34" t="s">
        <v>171</v>
      </c>
      <c r="B5" s="196" t="n">
        <v>7.5</v>
      </c>
      <c r="C5" s="197" t="n">
        <v>0.25</v>
      </c>
      <c r="D5" s="198" t="n">
        <f aca="false">B5*C5</f>
        <v>1.875</v>
      </c>
      <c r="E5" s="199" t="n">
        <f aca="false">IFERROR((SUM('📋 ACTIVOS'!H5:H29)-SUM('📋 ACTIVOS'!F5:F29))/SUM('📋 ACTIVOS'!F5:F29),0)</f>
        <v>0.0839354443329977</v>
      </c>
      <c r="F5" s="200" t="n">
        <f aca="false">B5/10-E5</f>
        <v>0.666064555667002</v>
      </c>
      <c r="G5" s="201" t="str">
        <f aca="false">IF(D5&gt;=E5*25,"🟢","🔴")</f>
        <v>🔴</v>
      </c>
    </row>
    <row r="6" customFormat="false" ht="21.75" hidden="false" customHeight="true" outlineLevel="0" collapsed="false">
      <c r="A6" s="37" t="s">
        <v>172</v>
      </c>
      <c r="B6" s="196" t="n">
        <v>6</v>
      </c>
      <c r="C6" s="197" t="n">
        <v>0.2</v>
      </c>
      <c r="D6" s="202" t="n">
        <f aca="false">B6*C6</f>
        <v>1.2</v>
      </c>
      <c r="E6" s="202" t="n">
        <f aca="false">'⚙️ INPUTS'!B27</f>
        <v>1.13928810741628</v>
      </c>
      <c r="F6" s="203" t="n">
        <f aca="false">B6/10-E6</f>
        <v>-0.539288107416283</v>
      </c>
      <c r="G6" s="204" t="str">
        <f aca="false">IF(D6&gt;=2,"🟢",IF(D6&gt;=1,"🟡","🔴"))</f>
        <v>🟡</v>
      </c>
    </row>
    <row r="7" customFormat="false" ht="21.75" hidden="false" customHeight="true" outlineLevel="0" collapsed="false">
      <c r="A7" s="34" t="s">
        <v>173</v>
      </c>
      <c r="B7" s="196" t="n">
        <v>5.5</v>
      </c>
      <c r="C7" s="197" t="n">
        <v>0.2</v>
      </c>
      <c r="D7" s="198" t="n">
        <f aca="false">B7*C7</f>
        <v>1.1</v>
      </c>
      <c r="E7" s="199" t="s">
        <v>174</v>
      </c>
      <c r="F7" s="200" t="n">
        <f aca="false">B7-E7</f>
        <v>-2.5</v>
      </c>
      <c r="G7" s="201" t="str">
        <f aca="false">IF(B7&gt;=7,"🟢",IF(B7&gt;=5,"🟡","🔴"))</f>
        <v>🟡</v>
      </c>
    </row>
    <row r="8" customFormat="false" ht="21.75" hidden="false" customHeight="true" outlineLevel="0" collapsed="false">
      <c r="A8" s="37" t="s">
        <v>175</v>
      </c>
      <c r="B8" s="196" t="n">
        <v>6.5</v>
      </c>
      <c r="C8" s="197" t="n">
        <v>0.15</v>
      </c>
      <c r="D8" s="202" t="n">
        <f aca="false">B8*C8</f>
        <v>0.975</v>
      </c>
      <c r="E8" s="205" t="s">
        <v>176</v>
      </c>
      <c r="F8" s="203" t="n">
        <f aca="false">B8-E8</f>
        <v>-0.5</v>
      </c>
      <c r="G8" s="204" t="str">
        <f aca="false">IF(B8&gt;=7,"🟢",IF(B8&gt;=5,"🟡","🔴"))</f>
        <v>🟡</v>
      </c>
    </row>
    <row r="9" customFormat="false" ht="21.75" hidden="false" customHeight="true" outlineLevel="0" collapsed="false">
      <c r="A9" s="34" t="s">
        <v>177</v>
      </c>
      <c r="B9" s="196" t="n">
        <v>7</v>
      </c>
      <c r="C9" s="197" t="n">
        <v>0.1</v>
      </c>
      <c r="D9" s="198" t="n">
        <f aca="false">B9*C9</f>
        <v>0.7</v>
      </c>
      <c r="E9" s="199" t="s">
        <v>178</v>
      </c>
      <c r="F9" s="200" t="n">
        <f aca="false">B9-E9</f>
        <v>1</v>
      </c>
      <c r="G9" s="201" t="str">
        <f aca="false">IF(B9&gt;=6,"🟢",IF(B9&gt;=4,"🟡","🔴"))</f>
        <v>🟢</v>
      </c>
    </row>
    <row r="10" customFormat="false" ht="21.75" hidden="false" customHeight="true" outlineLevel="0" collapsed="false">
      <c r="A10" s="37" t="s">
        <v>179</v>
      </c>
      <c r="B10" s="196" t="n">
        <v>8</v>
      </c>
      <c r="C10" s="197" t="n">
        <v>0.1</v>
      </c>
      <c r="D10" s="202" t="n">
        <f aca="false">B10*C10</f>
        <v>0.8</v>
      </c>
      <c r="E10" s="205" t="s">
        <v>174</v>
      </c>
      <c r="F10" s="203" t="n">
        <f aca="false">B10-E10</f>
        <v>0</v>
      </c>
      <c r="G10" s="204" t="str">
        <f aca="false">IF(B10&gt;=7,"🟢",IF(B10&gt;=5,"🟡","🔴"))</f>
        <v>🟢</v>
      </c>
    </row>
    <row r="11" customFormat="false" ht="21.75" hidden="false" customHeight="true" outlineLevel="0" collapsed="false">
      <c r="A11" s="131" t="s">
        <v>180</v>
      </c>
      <c r="B11" s="206" t="n">
        <f aca="false">SUM(D5:D10)/SUM(C5:C10)</f>
        <v>6.65</v>
      </c>
      <c r="C11" s="207" t="str">
        <f aca="false">IF(B11&gt;=8,"Excelente 🌟",IF(B11&gt;=6,"Bueno ✅",IF(B11&gt;=4,"Mejorable ⚠️","Deficiente 🔴")))</f>
        <v>Bueno ✅</v>
      </c>
      <c r="D11" s="207"/>
      <c r="E11" s="207"/>
    </row>
    <row r="12" customFormat="false" ht="9.75" hidden="false" customHeight="true" outlineLevel="0" collapsed="false"/>
    <row r="13" customFormat="false" ht="21.75" hidden="false" customHeight="true" outlineLevel="0" collapsed="false">
      <c r="A13" s="208" t="s">
        <v>181</v>
      </c>
      <c r="B13" s="208"/>
      <c r="C13" s="208"/>
      <c r="D13" s="208"/>
      <c r="E13" s="208"/>
      <c r="F13" s="208"/>
      <c r="G13" s="208"/>
    </row>
    <row r="14" customFormat="false" ht="19.5" hidden="false" customHeight="true" outlineLevel="0" collapsed="false">
      <c r="A14" s="209" t="s">
        <v>182</v>
      </c>
      <c r="B14" s="209" t="s">
        <v>183</v>
      </c>
      <c r="C14" s="209" t="s">
        <v>184</v>
      </c>
      <c r="D14" s="209" t="s">
        <v>185</v>
      </c>
      <c r="E14" s="209" t="s">
        <v>186</v>
      </c>
      <c r="F14" s="209" t="s">
        <v>187</v>
      </c>
      <c r="G14" s="209" t="s">
        <v>188</v>
      </c>
    </row>
    <row r="15" customFormat="false" ht="25.5" hidden="false" customHeight="true" outlineLevel="0" collapsed="false">
      <c r="A15" s="210" t="s">
        <v>189</v>
      </c>
      <c r="B15" s="210" t="s">
        <v>190</v>
      </c>
      <c r="C15" s="210" t="s">
        <v>191</v>
      </c>
      <c r="D15" s="211" t="s">
        <v>192</v>
      </c>
      <c r="E15" s="212" t="s">
        <v>193</v>
      </c>
      <c r="F15" s="213" t="s">
        <v>194</v>
      </c>
      <c r="G15" s="213" t="s">
        <v>195</v>
      </c>
    </row>
    <row r="16" customFormat="false" ht="25.5" hidden="false" customHeight="true" outlineLevel="0" collapsed="false">
      <c r="A16" s="210" t="s">
        <v>189</v>
      </c>
      <c r="B16" s="210" t="s">
        <v>196</v>
      </c>
      <c r="C16" s="210" t="s">
        <v>197</v>
      </c>
      <c r="D16" s="211" t="s">
        <v>198</v>
      </c>
      <c r="E16" s="212" t="s">
        <v>199</v>
      </c>
      <c r="F16" s="213" t="s">
        <v>200</v>
      </c>
      <c r="G16" s="213" t="s">
        <v>195</v>
      </c>
    </row>
    <row r="17" customFormat="false" ht="21.75" hidden="false" customHeight="true" outlineLevel="0" collapsed="false">
      <c r="A17" s="214" t="s">
        <v>201</v>
      </c>
      <c r="B17" s="214" t="s">
        <v>202</v>
      </c>
      <c r="C17" s="214" t="s">
        <v>203</v>
      </c>
      <c r="D17" s="215" t="s">
        <v>204</v>
      </c>
      <c r="E17" s="216" t="s">
        <v>205</v>
      </c>
      <c r="F17" s="213" t="s">
        <v>206</v>
      </c>
      <c r="G17" s="213" t="s">
        <v>195</v>
      </c>
    </row>
    <row r="18" customFormat="false" ht="21.75" hidden="false" customHeight="true" outlineLevel="0" collapsed="false">
      <c r="A18" s="214" t="s">
        <v>201</v>
      </c>
      <c r="B18" s="214" t="s">
        <v>207</v>
      </c>
      <c r="C18" s="214" t="s">
        <v>208</v>
      </c>
      <c r="D18" s="215" t="s">
        <v>209</v>
      </c>
      <c r="E18" s="216" t="s">
        <v>199</v>
      </c>
      <c r="F18" s="217" t="s">
        <v>210</v>
      </c>
      <c r="G18" s="217" t="s">
        <v>152</v>
      </c>
    </row>
    <row r="19" customFormat="false" ht="21.75" hidden="false" customHeight="true" outlineLevel="0" collapsed="false">
      <c r="A19" s="214" t="s">
        <v>201</v>
      </c>
      <c r="B19" s="214" t="s">
        <v>211</v>
      </c>
      <c r="C19" s="214" t="s">
        <v>212</v>
      </c>
      <c r="D19" s="215" t="s">
        <v>213</v>
      </c>
      <c r="E19" s="216" t="s">
        <v>214</v>
      </c>
      <c r="F19" s="213" t="s">
        <v>215</v>
      </c>
      <c r="G19" s="213" t="s">
        <v>195</v>
      </c>
    </row>
    <row r="20" customFormat="false" ht="21.75" hidden="false" customHeight="true" outlineLevel="0" collapsed="false">
      <c r="A20" s="218" t="s">
        <v>216</v>
      </c>
      <c r="B20" s="218" t="s">
        <v>217</v>
      </c>
      <c r="C20" s="218" t="s">
        <v>218</v>
      </c>
      <c r="D20" s="219" t="s">
        <v>219</v>
      </c>
      <c r="E20" s="220" t="s">
        <v>220</v>
      </c>
      <c r="F20" s="213" t="s">
        <v>206</v>
      </c>
      <c r="G20" s="213" t="s">
        <v>195</v>
      </c>
    </row>
    <row r="21" customFormat="false" ht="21.75" hidden="false" customHeight="true" outlineLevel="0" collapsed="false">
      <c r="A21" s="218" t="s">
        <v>216</v>
      </c>
      <c r="B21" s="218" t="s">
        <v>221</v>
      </c>
      <c r="C21" s="218" t="s">
        <v>222</v>
      </c>
      <c r="D21" s="219" t="s">
        <v>223</v>
      </c>
      <c r="E21" s="220" t="s">
        <v>224</v>
      </c>
      <c r="F21" s="217" t="s">
        <v>210</v>
      </c>
      <c r="G21" s="217" t="s">
        <v>152</v>
      </c>
    </row>
    <row r="23" customFormat="false" ht="9.75" hidden="false" customHeight="true" outlineLevel="0" collapsed="false"/>
    <row r="24" customFormat="false" ht="21.75" hidden="false" customHeight="true" outlineLevel="0" collapsed="false">
      <c r="A24" s="221" t="s">
        <v>225</v>
      </c>
      <c r="B24" s="221"/>
      <c r="C24" s="221"/>
      <c r="D24" s="221"/>
      <c r="E24" s="221"/>
      <c r="F24" s="221"/>
      <c r="G24" s="221"/>
    </row>
    <row r="25" customFormat="false" ht="21.75" hidden="false" customHeight="true" outlineLevel="0" collapsed="false">
      <c r="A25" s="222" t="s">
        <v>226</v>
      </c>
      <c r="B25" s="222" t="s">
        <v>227</v>
      </c>
      <c r="C25" s="222" t="s">
        <v>228</v>
      </c>
      <c r="D25" s="222" t="s">
        <v>229</v>
      </c>
      <c r="E25" s="222" t="s">
        <v>230</v>
      </c>
      <c r="F25" s="222" t="s">
        <v>231</v>
      </c>
      <c r="G25" s="222" t="s">
        <v>232</v>
      </c>
    </row>
    <row r="26" customFormat="false" ht="21.75" hidden="false" customHeight="true" outlineLevel="0" collapsed="false">
      <c r="A26" s="220" t="s">
        <v>233</v>
      </c>
      <c r="B26" s="223" t="n">
        <v>0.06</v>
      </c>
      <c r="C26" s="223" t="n">
        <v>0.2</v>
      </c>
      <c r="D26" s="223" t="n">
        <v>0.4</v>
      </c>
      <c r="E26" s="224" t="n">
        <f aca="false">(SUMIF('📋 ACTIVOS'!$B$5:$B$29,"RF",'📋 ACTIVOS'!$H$5:$H$29)/SUM('📋 ACTIVOS'!$H$5:$H$29))*B26+(SUMIF('📋 ACTIVOS'!$B$5:$B$29,"RV",'📋 ACTIVOS'!$H$5:$H$29)/SUM('📋 ACTIVOS'!$H$5:$H$29))*C26+(SUMIF('📋 ACTIVOS'!$B$5:$B$29,"CR",'📋 ACTIVOS'!$H$5:$H$29)/SUM('📋 ACTIVOS'!$H$5:$H$29))*D26</f>
        <v>0.0957132296575745</v>
      </c>
      <c r="F26" s="225" t="n">
        <f aca="false">SUM('📋 ACTIVOS'!H5:H29)*(1+E26)</f>
        <v>176265.239493724</v>
      </c>
      <c r="G26" s="226" t="n">
        <f aca="false">F26-SUM('📋 ACTIVOS'!H5:H29)</f>
        <v>15397.199642814</v>
      </c>
    </row>
    <row r="27" customFormat="false" ht="21.75" hidden="false" customHeight="true" outlineLevel="0" collapsed="false">
      <c r="A27" s="227" t="s">
        <v>234</v>
      </c>
      <c r="B27" s="223" t="n">
        <v>0.04</v>
      </c>
      <c r="C27" s="223" t="n">
        <v>0.1</v>
      </c>
      <c r="D27" s="223" t="n">
        <v>0</v>
      </c>
      <c r="E27" s="228" t="n">
        <f aca="false">(SUMIF('📋 ACTIVOS'!$B$5:$B$29,"RF",'📋 ACTIVOS'!$H$5:$H$29)/SUM('📋 ACTIVOS'!$H$5:$H$29))*B27+(SUMIF('📋 ACTIVOS'!$B$5:$B$29,"RV",'📋 ACTIVOS'!$H$5:$H$29)/SUM('📋 ACTIVOS'!$H$5:$H$29))*C27+(SUMIF('📋 ACTIVOS'!$B$5:$B$29,"CR",'📋 ACTIVOS'!$H$5:$H$29)/SUM('📋 ACTIVOS'!$H$5:$H$29))*D27</f>
        <v>0.0531459931327474</v>
      </c>
      <c r="F27" s="229" t="n">
        <f aca="false">SUM('📋 ACTIVOS'!H5:H29)*(1+E27)</f>
        <v>169417.531592105</v>
      </c>
      <c r="G27" s="230" t="n">
        <f aca="false">F27-SUM('📋 ACTIVOS'!H5:H29)</f>
        <v>8549.491741195</v>
      </c>
    </row>
    <row r="28" customFormat="false" ht="21.75" hidden="false" customHeight="true" outlineLevel="0" collapsed="false">
      <c r="A28" s="216" t="s">
        <v>235</v>
      </c>
      <c r="B28" s="223" t="n">
        <v>-0.04</v>
      </c>
      <c r="C28" s="223" t="n">
        <v>-0.15</v>
      </c>
      <c r="D28" s="223" t="n">
        <v>-0.3</v>
      </c>
      <c r="E28" s="231" t="n">
        <f aca="false">(SUMIF('📋 ACTIVOS'!$B$5:$B$29,"RF",'📋 ACTIVOS'!$H$5:$H$29)/SUM('📋 ACTIVOS'!$H$5:$H$29))*B28+(SUMIF('📋 ACTIVOS'!$B$5:$B$29,"RV",'📋 ACTIVOS'!$H$5:$H$29)/SUM('📋 ACTIVOS'!$H$5:$H$29))*C28+(SUMIF('📋 ACTIVOS'!$B$5:$B$29,"CR",'📋 ACTIVOS'!$H$5:$H$29)/SUM('📋 ACTIVOS'!$H$5:$H$29))*D28</f>
        <v>-0.0679773302417015</v>
      </c>
      <c r="F28" s="232" t="n">
        <f aca="false">SUM('📋 ACTIVOS'!H5:H29)*(1+E28)</f>
        <v>149932.65998063</v>
      </c>
      <c r="G28" s="233" t="n">
        <f aca="false">F28-SUM('📋 ACTIVOS'!H5:H29)</f>
        <v>-10935.3798702805</v>
      </c>
    </row>
    <row r="29" customFormat="false" ht="21.75" hidden="false" customHeight="true" outlineLevel="0" collapsed="false">
      <c r="A29" s="212" t="s">
        <v>236</v>
      </c>
      <c r="B29" s="223" t="n">
        <v>-0.08</v>
      </c>
      <c r="C29" s="223" t="n">
        <v>-0.3</v>
      </c>
      <c r="D29" s="223" t="n">
        <v>-0.6</v>
      </c>
      <c r="E29" s="234" t="n">
        <f aca="false">(SUMIF('📋 ACTIVOS'!$B$5:$B$29,"RF",'📋 ACTIVOS'!$H$5:$H$29)/SUM('📋 ACTIVOS'!$H$5:$H$29))*B29+(SUMIF('📋 ACTIVOS'!$B$5:$B$29,"RV",'📋 ACTIVOS'!$H$5:$H$29)/SUM('📋 ACTIVOS'!$H$5:$H$29))*C29+(SUMIF('📋 ACTIVOS'!$B$5:$B$29,"CR",'📋 ACTIVOS'!$H$5:$H$29)/SUM('📋 ACTIVOS'!$H$5:$H$29))*D29</f>
        <v>-0.135954660483403</v>
      </c>
      <c r="F29" s="235" t="n">
        <f aca="false">SUM('📋 ACTIVOS'!H5:H29)*(1+E29)</f>
        <v>138997.280110349</v>
      </c>
      <c r="G29" s="236" t="n">
        <f aca="false">F29-SUM('📋 ACTIVOS'!H5:H29)</f>
        <v>-21870.759740561</v>
      </c>
    </row>
    <row r="30" customFormat="false" ht="21.75" hidden="false" customHeight="true" outlineLevel="0" collapsed="false">
      <c r="A30" s="237" t="s">
        <v>237</v>
      </c>
      <c r="B30" s="223" t="n">
        <v>-0.12</v>
      </c>
      <c r="C30" s="223" t="n">
        <v>-0.5</v>
      </c>
      <c r="D30" s="223" t="n">
        <v>-0.8</v>
      </c>
      <c r="E30" s="238" t="n">
        <f aca="false">(SUMIF('📋 ACTIVOS'!$B$5:$B$29,"RF",'📋 ACTIVOS'!$H$5:$H$29)/SUM('📋 ACTIVOS'!$H$5:$H$29))*B30+(SUMIF('📋 ACTIVOS'!$B$5:$B$29,"RV",'📋 ACTIVOS'!$H$5:$H$29)/SUM('📋 ACTIVOS'!$H$5:$H$29))*C30+(SUMIF('📋 ACTIVOS'!$B$5:$B$29,"CR",'📋 ACTIVOS'!$H$5:$H$29)/SUM('📋 ACTIVOS'!$H$5:$H$29))*D30</f>
        <v>-0.214111716436061</v>
      </c>
      <c r="F30" s="239" t="n">
        <f aca="false">SUM('📋 ACTIVOS'!H5:H29)*(1+E30)</f>
        <v>126424.307718727</v>
      </c>
      <c r="G30" s="240" t="n">
        <f aca="false">F30-SUM('📋 ACTIVOS'!H5:H29)</f>
        <v>-34443.732132183</v>
      </c>
    </row>
  </sheetData>
  <mergeCells count="5">
    <mergeCell ref="A1:G1"/>
    <mergeCell ref="A3:G3"/>
    <mergeCell ref="C11:E11"/>
    <mergeCell ref="A13:G1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1" min="2" style="1" width="16"/>
  </cols>
  <sheetData>
    <row r="1" customFormat="false" ht="33.75" hidden="false" customHeight="true" outlineLevel="0" collapsed="false">
      <c r="A1" s="241" t="s">
        <v>238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</row>
    <row r="2" customFormat="false" ht="19.5" hidden="false" customHeight="true" outlineLevel="0" collapsed="false">
      <c r="A2" s="242" t="s">
        <v>239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</row>
    <row r="3" customFormat="false" ht="7.5" hidden="false" customHeight="true" outlineLevel="0" collapsed="false"/>
    <row r="4" customFormat="false" ht="21.75" hidden="false" customHeight="true" outlineLevel="0" collapsed="false">
      <c r="A4" s="243" t="s">
        <v>240</v>
      </c>
      <c r="B4" s="243" t="s">
        <v>241</v>
      </c>
      <c r="C4" s="243" t="s">
        <v>242</v>
      </c>
      <c r="D4" s="243" t="s">
        <v>243</v>
      </c>
      <c r="E4" s="243" t="s">
        <v>86</v>
      </c>
      <c r="F4" s="243" t="s">
        <v>244</v>
      </c>
      <c r="G4" s="243" t="s">
        <v>245</v>
      </c>
      <c r="H4" s="243" t="s">
        <v>246</v>
      </c>
      <c r="I4" s="243" t="s">
        <v>141</v>
      </c>
      <c r="J4" s="243" t="s">
        <v>247</v>
      </c>
      <c r="K4" s="243" t="s">
        <v>248</v>
      </c>
    </row>
    <row r="5" customFormat="false" ht="21.75" hidden="false" customHeight="true" outlineLevel="0" collapsed="false">
      <c r="A5" s="244" t="s">
        <v>7</v>
      </c>
      <c r="B5" s="245" t="n">
        <v>167020.52</v>
      </c>
      <c r="C5" s="245" t="n">
        <v>152966.48</v>
      </c>
      <c r="D5" s="246" t="n">
        <v>14028.82</v>
      </c>
      <c r="E5" s="247" t="n">
        <v>0.0917</v>
      </c>
      <c r="F5" s="248" t="n">
        <v>0.734</v>
      </c>
      <c r="G5" s="248" t="n">
        <v>0.218</v>
      </c>
      <c r="H5" s="248" t="n">
        <v>0.011</v>
      </c>
      <c r="I5" s="248" t="n">
        <v>0.0785</v>
      </c>
      <c r="J5" s="249" t="n">
        <v>0.74</v>
      </c>
      <c r="K5" s="250" t="s">
        <v>249</v>
      </c>
    </row>
    <row r="6" customFormat="false" ht="19.5" hidden="false" customHeight="true" outlineLevel="0" collapsed="false">
      <c r="A6" s="251"/>
      <c r="B6" s="251"/>
      <c r="C6" s="251"/>
      <c r="D6" s="251"/>
      <c r="E6" s="251"/>
      <c r="F6" s="251"/>
      <c r="G6" s="251"/>
      <c r="H6" s="251"/>
      <c r="I6" s="251"/>
      <c r="J6" s="251"/>
      <c r="K6" s="252"/>
    </row>
    <row r="7" customFormat="false" ht="19.5" hidden="false" customHeight="true" outlineLevel="0" collapsed="false">
      <c r="A7" s="253"/>
      <c r="B7" s="253"/>
      <c r="C7" s="253"/>
      <c r="D7" s="253"/>
      <c r="E7" s="253"/>
      <c r="F7" s="253"/>
      <c r="G7" s="253"/>
      <c r="H7" s="253"/>
      <c r="I7" s="253"/>
      <c r="J7" s="253"/>
      <c r="K7" s="254"/>
    </row>
    <row r="8" customFormat="false" ht="19.5" hidden="false" customHeight="true" outlineLevel="0" collapsed="false">
      <c r="A8" s="251"/>
      <c r="B8" s="251"/>
      <c r="C8" s="251"/>
      <c r="D8" s="251"/>
      <c r="E8" s="251"/>
      <c r="F8" s="251"/>
      <c r="G8" s="251"/>
      <c r="H8" s="251"/>
      <c r="I8" s="251"/>
      <c r="J8" s="251"/>
      <c r="K8" s="252"/>
    </row>
    <row r="9" customFormat="false" ht="19.5" hidden="false" customHeight="true" outlineLevel="0" collapsed="false">
      <c r="A9" s="253"/>
      <c r="B9" s="253"/>
      <c r="C9" s="253"/>
      <c r="D9" s="253"/>
      <c r="E9" s="253"/>
      <c r="F9" s="253"/>
      <c r="G9" s="253"/>
      <c r="H9" s="253"/>
      <c r="I9" s="253"/>
      <c r="J9" s="253"/>
      <c r="K9" s="254"/>
    </row>
    <row r="10" customFormat="false" ht="19.5" hidden="false" customHeight="true" outlineLevel="0" collapsed="false">
      <c r="A10" s="251"/>
      <c r="B10" s="251"/>
      <c r="C10" s="251"/>
      <c r="D10" s="251"/>
      <c r="E10" s="251"/>
      <c r="F10" s="251"/>
      <c r="G10" s="251"/>
      <c r="H10" s="251"/>
      <c r="I10" s="251"/>
      <c r="J10" s="251"/>
      <c r="K10" s="252"/>
    </row>
    <row r="11" customFormat="false" ht="19.5" hidden="false" customHeight="true" outlineLevel="0" collapsed="false">
      <c r="A11" s="253"/>
      <c r="B11" s="253"/>
      <c r="C11" s="253"/>
      <c r="D11" s="253"/>
      <c r="E11" s="253"/>
      <c r="F11" s="253"/>
      <c r="G11" s="253"/>
      <c r="H11" s="253"/>
      <c r="I11" s="253"/>
      <c r="J11" s="253"/>
      <c r="K11" s="254"/>
    </row>
    <row r="12" customFormat="false" ht="19.5" hidden="false" customHeight="true" outlineLevel="0" collapsed="false">
      <c r="A12" s="251"/>
      <c r="B12" s="251"/>
      <c r="C12" s="251"/>
      <c r="D12" s="251"/>
      <c r="E12" s="251"/>
      <c r="F12" s="251"/>
      <c r="G12" s="251"/>
      <c r="H12" s="251"/>
      <c r="I12" s="251"/>
      <c r="J12" s="251"/>
      <c r="K12" s="252"/>
    </row>
    <row r="13" customFormat="false" ht="19.5" hidden="false" customHeight="true" outlineLevel="0" collapsed="false">
      <c r="A13" s="253"/>
      <c r="B13" s="253"/>
      <c r="C13" s="253"/>
      <c r="D13" s="253"/>
      <c r="E13" s="253"/>
      <c r="F13" s="253"/>
      <c r="G13" s="253"/>
      <c r="H13" s="253"/>
      <c r="I13" s="253"/>
      <c r="J13" s="253"/>
      <c r="K13" s="254"/>
    </row>
    <row r="14" customFormat="false" ht="19.5" hidden="false" customHeight="true" outlineLevel="0" collapsed="false">
      <c r="A14" s="251"/>
      <c r="B14" s="251"/>
      <c r="C14" s="251"/>
      <c r="D14" s="251"/>
      <c r="E14" s="251"/>
      <c r="F14" s="251"/>
      <c r="G14" s="251"/>
      <c r="H14" s="251"/>
      <c r="I14" s="251"/>
      <c r="J14" s="251"/>
      <c r="K14" s="252"/>
    </row>
    <row r="15" customFormat="false" ht="19.5" hidden="false" customHeight="true" outlineLevel="0" collapsed="false">
      <c r="A15" s="253"/>
      <c r="B15" s="253"/>
      <c r="C15" s="253"/>
      <c r="D15" s="253"/>
      <c r="E15" s="253"/>
      <c r="F15" s="253"/>
      <c r="G15" s="253"/>
      <c r="H15" s="253"/>
      <c r="I15" s="253"/>
      <c r="J15" s="253"/>
      <c r="K15" s="254"/>
    </row>
    <row r="16" customFormat="false" ht="19.5" hidden="false" customHeight="true" outlineLevel="0" collapsed="false">
      <c r="A16" s="251"/>
      <c r="B16" s="251"/>
      <c r="C16" s="251"/>
      <c r="D16" s="251"/>
      <c r="E16" s="251"/>
      <c r="F16" s="251"/>
      <c r="G16" s="251"/>
      <c r="H16" s="251"/>
      <c r="I16" s="251"/>
      <c r="J16" s="251"/>
      <c r="K16" s="252"/>
    </row>
    <row r="17" customFormat="false" ht="19.5" hidden="false" customHeight="true" outlineLevel="0" collapsed="false">
      <c r="A17" s="253"/>
      <c r="B17" s="253"/>
      <c r="C17" s="253"/>
      <c r="D17" s="253"/>
      <c r="E17" s="253"/>
      <c r="F17" s="253"/>
      <c r="G17" s="253"/>
      <c r="H17" s="253"/>
      <c r="I17" s="253"/>
      <c r="J17" s="253"/>
      <c r="K17" s="254"/>
    </row>
    <row r="18" customFormat="false" ht="19.5" hidden="false" customHeight="true" outlineLevel="0" collapsed="false">
      <c r="A18" s="157" t="s">
        <v>250</v>
      </c>
      <c r="B18" s="157"/>
      <c r="C18" s="157"/>
      <c r="D18" s="157"/>
      <c r="E18" s="157"/>
      <c r="F18" s="157"/>
      <c r="G18" s="157"/>
      <c r="H18" s="157"/>
      <c r="I18" s="157"/>
      <c r="J18" s="157"/>
      <c r="K18" s="157"/>
    </row>
  </sheetData>
  <mergeCells count="3">
    <mergeCell ref="A1:K1"/>
    <mergeCell ref="A2:K2"/>
    <mergeCell ref="A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2026-02-22T21:33:20Z</dcterms:created>
  <dc:creator>openpyxl</dc:creator>
  <dc:description/>
  <dc:language>en-US</dc:language>
  <cp:lastModifiedBy/>
  <dcterms:modified xsi:type="dcterms:W3CDTF">2026-02-22T21:34:07Z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