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⚙️ INPUTS" sheetId="1" state="visible" r:id="rId1"/>
    <sheet xmlns:r="http://schemas.openxmlformats.org/officeDocument/2006/relationships" name="📋 ACTIVOS" sheetId="2" state="visible" r:id="rId2"/>
    <sheet xmlns:r="http://schemas.openxmlformats.org/officeDocument/2006/relationships" name="📊 DASHBOARD" sheetId="3" state="visible" r:id="rId3"/>
    <sheet xmlns:r="http://schemas.openxmlformats.org/officeDocument/2006/relationships" name="📈 HISTÓRICO" sheetId="4" state="visible" r:id="rId4"/>
    <sheet xmlns:r="http://schemas.openxmlformats.org/officeDocument/2006/relationships" name="📉 HISTÓRICO POR ACTIVO" sheetId="5" state="visible" r:id="rId5"/>
    <sheet xmlns:r="http://schemas.openxmlformats.org/officeDocument/2006/relationships" name="🔄 CÓMO ACTUALIZ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#,##0.00\ &quot;€&quot;"/>
    <numFmt numFmtId="166" formatCode="0.000000"/>
    <numFmt numFmtId="167" formatCode="#,##0\ &quot;€&quot;"/>
    <numFmt numFmtId="168" formatCode="DD/MM/YYYY"/>
    <numFmt numFmtId="169" formatCode="0.000"/>
  </numFmts>
  <fonts count="24">
    <font>
      <name val="Calibri"/>
      <family val="2"/>
      <color theme="1"/>
      <sz val="11"/>
      <scheme val="minor"/>
    </font>
    <font>
      <name val="Arial"/>
      <b val="1"/>
      <color rgb="00E8ECF4"/>
      <sz val="13"/>
    </font>
    <font>
      <name val="Arial"/>
      <color rgb="00000000"/>
      <sz val="10"/>
    </font>
    <font>
      <name val="Arial"/>
      <b val="1"/>
      <color rgb="000000FF"/>
      <sz val="10"/>
    </font>
    <font>
      <name val="Arial"/>
      <color rgb="006B7A8D"/>
      <sz val="10"/>
    </font>
    <font>
      <name val="Arial"/>
      <b val="1"/>
      <color rgb="00E8ECF4"/>
      <sz val="10"/>
    </font>
    <font>
      <name val="Arial"/>
      <b val="1"/>
      <color rgb="00000000"/>
      <sz val="10"/>
    </font>
    <font>
      <name val="Arial"/>
      <color rgb="00008000"/>
      <sz val="10"/>
    </font>
    <font>
      <name val="Arial"/>
      <color rgb="006B7A8D"/>
      <sz val="9"/>
    </font>
    <font>
      <name val="Arial"/>
      <b val="1"/>
      <color rgb="00006400"/>
      <sz val="10"/>
    </font>
    <font>
      <name val="Arial"/>
      <color rgb="000000FF"/>
      <sz val="10"/>
    </font>
    <font>
      <name val="Arial"/>
      <b val="1"/>
      <color rgb="0000008B"/>
      <sz val="10"/>
    </font>
    <font>
      <name val="Arial"/>
      <b val="1"/>
      <color rgb="008B6914"/>
      <sz val="10"/>
    </font>
    <font>
      <name val="Arial"/>
      <b val="1"/>
      <color rgb="00CC0000"/>
      <sz val="10"/>
    </font>
    <font>
      <name val="Arial"/>
      <b val="1"/>
      <color rgb="00E8ECF4"/>
      <sz val="11"/>
    </font>
    <font>
      <name val="Arial"/>
      <color rgb="004A9EFF"/>
      <sz val="9"/>
    </font>
    <font>
      <name val="Arial"/>
      <b val="1"/>
      <color rgb="00E8ECF4"/>
      <sz val="14"/>
    </font>
    <font>
      <name val="Arial"/>
      <b val="1"/>
      <color rgb="0000E5A0"/>
      <sz val="8"/>
    </font>
    <font>
      <name val="Arial"/>
      <b val="1"/>
      <color rgb="00E8ECF4"/>
      <sz val="18"/>
    </font>
    <font>
      <name val="Arial"/>
      <b val="1"/>
      <color rgb="004A9EFF"/>
      <sz val="8"/>
    </font>
    <font>
      <name val="Arial"/>
      <b val="1"/>
      <color rgb="00F5C518"/>
      <sz val="8"/>
    </font>
    <font>
      <name val="Arial"/>
      <b val="1"/>
      <color rgb="00008000"/>
      <sz val="10"/>
    </font>
    <font>
      <name val="Arial"/>
      <b val="1"/>
      <color rgb="0000E5A0"/>
      <sz val="11"/>
    </font>
    <font>
      <name val="Arial"/>
      <b val="1"/>
      <color rgb="004A9EFF"/>
      <sz val="10"/>
    </font>
  </fonts>
  <fills count="15">
    <fill>
      <patternFill/>
    </fill>
    <fill>
      <patternFill patternType="gray125"/>
    </fill>
    <fill>
      <patternFill patternType="solid">
        <fgColor rgb="00111419"/>
      </patternFill>
    </fill>
    <fill>
      <patternFill patternType="solid">
        <fgColor rgb="001E2430"/>
      </patternFill>
    </fill>
    <fill>
      <patternFill patternType="solid">
        <fgColor rgb="000D1017"/>
      </patternFill>
    </fill>
    <fill>
      <patternFill patternType="solid">
        <fgColor rgb="00E8F5E9"/>
      </patternFill>
    </fill>
    <fill>
      <patternFill patternType="solid">
        <fgColor rgb="0090EE90"/>
      </patternFill>
    </fill>
    <fill>
      <patternFill patternType="solid">
        <fgColor rgb="00FFFF00"/>
      </patternFill>
    </fill>
    <fill>
      <patternFill patternType="solid">
        <fgColor rgb="00FFFF99"/>
      </patternFill>
    </fill>
    <fill>
      <patternFill patternType="solid">
        <fgColor rgb="00E3F2FD"/>
      </patternFill>
    </fill>
    <fill>
      <patternFill patternType="solid">
        <fgColor rgb="00ADD8E6"/>
      </patternFill>
    </fill>
    <fill>
      <patternFill patternType="solid">
        <fgColor rgb="00FFF9C4"/>
      </patternFill>
    </fill>
    <fill>
      <patternFill patternType="solid">
        <fgColor rgb="00FFE0E0"/>
      </patternFill>
    </fill>
    <fill>
      <patternFill patternType="solid">
        <fgColor rgb="000A0C0F"/>
      </patternFill>
    </fill>
    <fill>
      <patternFill patternType="solid">
        <fgColor rgb="00F8F8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1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wrapText="1"/>
    </xf>
    <xf numFmtId="166" fontId="10" fillId="5" borderId="0" applyAlignment="1" pivotButton="0" quotePrefix="0" xfId="0">
      <alignment horizontal="right" vertical="center"/>
    </xf>
    <xf numFmtId="165" fontId="10" fillId="5" borderId="0" applyAlignment="1" pivotButton="0" quotePrefix="0" xfId="0">
      <alignment horizontal="right" vertical="center"/>
    </xf>
    <xf numFmtId="165" fontId="3" fillId="8" borderId="0" applyAlignment="1" pivotButton="0" quotePrefix="0" xfId="0">
      <alignment horizontal="right" vertical="center"/>
    </xf>
    <xf numFmtId="165" fontId="2" fillId="5" borderId="0" applyAlignment="1" pivotButton="0" quotePrefix="0" xfId="0">
      <alignment horizontal="right" vertical="center"/>
    </xf>
    <xf numFmtId="10" fontId="2" fillId="5" borderId="0" applyAlignment="1" pivotButton="0" quotePrefix="0" xfId="0">
      <alignment horizontal="right" vertical="center"/>
    </xf>
    <xf numFmtId="10" fontId="10" fillId="5" borderId="0" applyAlignment="1" pivotButton="0" quotePrefix="0" xfId="0">
      <alignment horizontal="right" vertical="center"/>
    </xf>
    <xf numFmtId="164" fontId="7" fillId="5" borderId="0" applyAlignment="1" pivotButton="0" quotePrefix="0" xfId="0">
      <alignment horizontal="right" vertical="center"/>
    </xf>
    <xf numFmtId="0" fontId="4" fillId="9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 wrapText="1"/>
    </xf>
    <xf numFmtId="166" fontId="10" fillId="9" borderId="0" applyAlignment="1" pivotButton="0" quotePrefix="0" xfId="0">
      <alignment horizontal="right" vertical="center"/>
    </xf>
    <xf numFmtId="165" fontId="2" fillId="9" borderId="0" applyAlignment="1" pivotButton="0" quotePrefix="0" xfId="0">
      <alignment horizontal="right" vertical="center"/>
    </xf>
    <xf numFmtId="165" fontId="10" fillId="9" borderId="0" applyAlignment="1" pivotButton="0" quotePrefix="0" xfId="0">
      <alignment horizontal="right" vertical="center"/>
    </xf>
    <xf numFmtId="10" fontId="2" fillId="9" borderId="0" applyAlignment="1" pivotButton="0" quotePrefix="0" xfId="0">
      <alignment horizontal="right" vertical="center"/>
    </xf>
    <xf numFmtId="10" fontId="10" fillId="9" borderId="0" applyAlignment="1" pivotButton="0" quotePrefix="0" xfId="0">
      <alignment horizontal="right" vertical="center"/>
    </xf>
    <xf numFmtId="164" fontId="7" fillId="9" borderId="0" applyAlignment="1" pivotButton="0" quotePrefix="0" xfId="0">
      <alignment horizontal="right" vertical="center"/>
    </xf>
    <xf numFmtId="0" fontId="4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 wrapText="1"/>
    </xf>
    <xf numFmtId="166" fontId="10" fillId="11" borderId="0" applyAlignment="1" pivotButton="0" quotePrefix="0" xfId="0">
      <alignment horizontal="right" vertical="center"/>
    </xf>
    <xf numFmtId="165" fontId="10" fillId="11" borderId="0" applyAlignment="1" pivotButton="0" quotePrefix="0" xfId="0">
      <alignment horizontal="right" vertical="center"/>
    </xf>
    <xf numFmtId="165" fontId="2" fillId="11" borderId="0" applyAlignment="1" pivotButton="0" quotePrefix="0" xfId="0">
      <alignment horizontal="right" vertical="center"/>
    </xf>
    <xf numFmtId="10" fontId="2" fillId="11" borderId="0" applyAlignment="1" pivotButton="0" quotePrefix="0" xfId="0">
      <alignment horizontal="right" vertical="center"/>
    </xf>
    <xf numFmtId="10" fontId="10" fillId="11" borderId="0" applyAlignment="1" pivotButton="0" quotePrefix="0" xfId="0">
      <alignment horizontal="right" vertical="center"/>
    </xf>
    <xf numFmtId="164" fontId="7" fillId="11" borderId="0" applyAlignment="1" pivotButton="0" quotePrefix="0" xfId="0">
      <alignment horizontal="right" vertical="center"/>
    </xf>
    <xf numFmtId="0" fontId="13" fillId="1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165" fontId="5" fillId="3" borderId="0" applyAlignment="1" pivotButton="0" quotePrefix="0" xfId="0">
      <alignment horizontal="right" vertical="center"/>
    </xf>
    <xf numFmtId="10" fontId="5" fillId="3" borderId="0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0" fontId="15" fillId="4" borderId="0" applyAlignment="1" pivotButton="0" quotePrefix="0" xfId="0">
      <alignment horizontal="left" vertical="center" wrapText="1"/>
    </xf>
    <xf numFmtId="0" fontId="16" fillId="13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left" vertical="center"/>
    </xf>
    <xf numFmtId="167" fontId="18" fillId="2" borderId="0" applyAlignment="1" pivotButton="0" quotePrefix="0" xfId="0">
      <alignment horizontal="right" vertical="center"/>
    </xf>
    <xf numFmtId="165" fontId="18" fillId="2" borderId="0" applyAlignment="1" pivotButton="0" quotePrefix="0" xfId="0">
      <alignment horizontal="right" vertical="center"/>
    </xf>
    <xf numFmtId="10" fontId="18" fillId="2" borderId="0" applyAlignment="1" pivotButton="0" quotePrefix="0" xfId="0">
      <alignment horizontal="right" vertical="center"/>
    </xf>
    <xf numFmtId="0" fontId="19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left" vertical="center"/>
    </xf>
    <xf numFmtId="2" fontId="18" fillId="2" borderId="0" applyAlignment="1" pivotButton="0" quotePrefix="0" xfId="0">
      <alignment horizontal="right" vertical="center"/>
    </xf>
    <xf numFmtId="0" fontId="2" fillId="5" borderId="0" applyAlignment="1" pivotButton="0" quotePrefix="0" xfId="0">
      <alignment horizontal="left" vertical="center"/>
    </xf>
    <xf numFmtId="164" fontId="2" fillId="5" borderId="0" applyAlignment="1" pivotButton="0" quotePrefix="0" xfId="0">
      <alignment horizontal="right" vertical="center"/>
    </xf>
    <xf numFmtId="10" fontId="7" fillId="5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left" vertical="center"/>
    </xf>
    <xf numFmtId="164" fontId="2" fillId="9" borderId="0" applyAlignment="1" pivotButton="0" quotePrefix="0" xfId="0">
      <alignment horizontal="right" vertical="center"/>
    </xf>
    <xf numFmtId="10" fontId="7" fillId="9" borderId="0" applyAlignment="1" pivotButton="0" quotePrefix="0" xfId="0">
      <alignment horizontal="right" vertical="center"/>
    </xf>
    <xf numFmtId="0" fontId="2" fillId="11" borderId="0" applyAlignment="1" pivotButton="0" quotePrefix="0" xfId="0">
      <alignment horizontal="left" vertical="center"/>
    </xf>
    <xf numFmtId="164" fontId="2" fillId="11" borderId="0" applyAlignment="1" pivotButton="0" quotePrefix="0" xfId="0">
      <alignment horizontal="right" vertical="center"/>
    </xf>
    <xf numFmtId="10" fontId="7" fillId="11" borderId="0" applyAlignment="1" pivotButton="0" quotePrefix="0" xfId="0">
      <alignment horizontal="right" vertical="center"/>
    </xf>
    <xf numFmtId="10" fontId="21" fillId="3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10" fontId="10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2" fontId="10" fillId="0" borderId="0" applyAlignment="1" pivotButton="0" quotePrefix="0" xfId="0">
      <alignment horizontal="right" vertical="center"/>
    </xf>
    <xf numFmtId="49" fontId="10" fillId="0" borderId="0" applyAlignment="1" pivotButton="0" quotePrefix="0" xfId="0">
      <alignment horizontal="right" vertical="center"/>
    </xf>
    <xf numFmtId="167" fontId="7" fillId="0" borderId="0" applyAlignment="1" pivotButton="0" quotePrefix="0" xfId="0">
      <alignment horizontal="left" vertical="center"/>
    </xf>
    <xf numFmtId="165" fontId="2" fillId="0" borderId="0" applyAlignment="1" pivotButton="0" quotePrefix="0" xfId="0">
      <alignment horizontal="left" vertical="center"/>
    </xf>
    <xf numFmtId="10" fontId="2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right" vertical="center"/>
    </xf>
    <xf numFmtId="0" fontId="2" fillId="14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/>
    </xf>
    <xf numFmtId="0" fontId="22" fillId="2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169" fontId="10" fillId="9" borderId="0" applyAlignment="1" pivotButton="0" quotePrefix="0" xfId="0">
      <alignment horizontal="right" vertical="center"/>
    </xf>
    <xf numFmtId="0" fontId="4" fillId="9" borderId="0" applyAlignment="1" pivotButton="0" quotePrefix="0" xfId="0">
      <alignment horizontal="left" vertical="center"/>
    </xf>
    <xf numFmtId="165" fontId="3" fillId="9" borderId="0" applyAlignment="1" pivotButton="0" quotePrefix="0" xfId="0">
      <alignment horizontal="right" vertical="center"/>
    </xf>
    <xf numFmtId="10" fontId="2" fillId="3" borderId="0" applyAlignment="1" pivotButton="0" quotePrefix="0" xfId="0">
      <alignment horizontal="right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Evolución valor total de cartera</a:t>
            </a:r>
          </a:p>
        </rich>
      </tx>
    </title>
    <plotArea>
      <lineChart>
        <grouping val="standard"/>
        <ser>
          <idx val="0"/>
          <order val="0"/>
          <tx>
            <strRef>
              <f>'📈 HISTÓRICO'!B4</f>
            </strRef>
          </tx>
          <spPr>
            <a:ln xmlns:a="http://schemas.openxmlformats.org/drawingml/2006/main" w="25000">
              <a:solidFill>
                <a:srgbClr val="00E5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HISTÓRICO'!$A$5:$A$11</f>
            </numRef>
          </cat>
          <val>
            <numRef>
              <f>'📈 HISTÓRICO'!$B$5:$B$11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Rentabilidad actual por activo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HISTÓRICO POR ACTIVO'!F4</f>
            </strRef>
          </tx>
          <spPr>
            <a:solidFill xmlns:a="http://schemas.openxmlformats.org/drawingml/2006/main">
              <a:srgbClr val="00E5A0"/>
            </a:solidFill>
            <a:ln xmlns:a="http://schemas.openxmlformats.org/drawingml/2006/main">
              <a:prstDash val="solid"/>
            </a:ln>
          </spPr>
          <cat>
            <numRef>
              <f>'📉 HISTÓRICO POR ACTIVO'!$A$5:$A$16</f>
            </numRef>
          </cat>
          <val>
            <numRef>
              <f>'📉 HISTÓRICO POR ACTIVO'!$F$5:$F$16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Rent. Total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37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19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4A9EFF"/>
    <outlinePr summaryBelow="1" summaryRight="1"/>
    <pageSetUpPr/>
  </sheetPr>
  <dimension ref="A1:G25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4" customWidth="1" min="3" max="3"/>
    <col width="32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" t="inlineStr">
        <is>
          <t>⚙️  PARÁMETROS DE MERCADO — Editar valores en AZUL</t>
        </is>
      </c>
    </row>
    <row r="2" ht="18" customHeight="1">
      <c r="A2" s="2" t="inlineStr">
        <is>
          <t>Tasa libre de riesgo (Rf)</t>
        </is>
      </c>
      <c r="B2" s="3" t="n">
        <v>0.02</v>
      </c>
      <c r="C2" s="2" t="inlineStr"/>
      <c r="D2" s="4" t="inlineStr">
        <is>
          <t>Fuente: Euribor 12m ~ 2.4% | OAT 2Y ~ 2%</t>
        </is>
      </c>
    </row>
    <row r="3" ht="18" customHeight="1">
      <c r="A3" s="2" t="inlineStr">
        <is>
          <t>Prima de riesgo mercado</t>
        </is>
      </c>
      <c r="B3" s="3" t="n">
        <v>0.055</v>
      </c>
      <c r="C3" s="2" t="inlineStr"/>
      <c r="D3" s="4" t="inlineStr">
        <is>
          <t>Fuente: MSCI World histórico ~ 5-6%</t>
        </is>
      </c>
    </row>
    <row r="4" ht="18" customHeight="1">
      <c r="A4" s="2" t="inlineStr">
        <is>
          <t>Inflación esperada (España)</t>
        </is>
      </c>
      <c r="B4" s="3" t="n">
        <v>0.025</v>
      </c>
      <c r="C4" s="2" t="inlineStr"/>
      <c r="D4" s="4" t="inlineStr">
        <is>
          <t>Fuente: BCE objetivo 2%</t>
        </is>
      </c>
    </row>
    <row r="5" ht="18" customHeight="1">
      <c r="A5" s="2" t="inlineStr">
        <is>
          <t>Tipo impositivo (IRPF)</t>
        </is>
      </c>
      <c r="B5" s="3" t="n">
        <v>0.19</v>
      </c>
      <c r="C5" s="2" t="inlineStr"/>
      <c r="D5" s="4" t="inlineStr">
        <is>
          <t>Fuente: Primer tramo ganancias capital</t>
        </is>
      </c>
    </row>
    <row r="6" ht="18" customHeight="1">
      <c r="A6" s="2" t="inlineStr">
        <is>
          <t>Comisiones medias RF</t>
        </is>
      </c>
      <c r="B6" s="3" t="n">
        <v>0.005</v>
      </c>
      <c r="C6" s="2" t="inlineStr"/>
      <c r="D6" s="4" t="inlineStr">
        <is>
          <t>Fuente: Estimación fondos RF GVC</t>
        </is>
      </c>
    </row>
    <row r="7" ht="18" customHeight="1">
      <c r="A7" s="2" t="inlineStr">
        <is>
          <t>Comisiones medias RV</t>
        </is>
      </c>
      <c r="B7" s="3" t="n">
        <v>0.015</v>
      </c>
      <c r="C7" s="2" t="inlineStr"/>
      <c r="D7" s="4" t="inlineStr">
        <is>
          <t>Fuente: Estimación fondos RV GVC</t>
        </is>
      </c>
    </row>
    <row r="8" ht="18" customHeight="1">
      <c r="A8" s="2" t="inlineStr">
        <is>
          <t>Rentabilidad objetivo cartera</t>
        </is>
      </c>
      <c r="B8" s="3" t="n">
        <v>0.08</v>
      </c>
      <c r="C8" s="2" t="inlineStr"/>
      <c r="D8" s="4" t="inlineStr">
        <is>
          <t>Fuente: Objetivo personal</t>
        </is>
      </c>
    </row>
    <row r="9" ht="18" customHeight="1">
      <c r="A9" s="2" t="inlineStr">
        <is>
          <t>Volatilidad objetivo máx.</t>
        </is>
      </c>
      <c r="B9" s="3" t="n">
        <v>0.12</v>
      </c>
      <c r="C9" s="2" t="inlineStr"/>
      <c r="D9" s="4" t="inlineStr">
        <is>
          <t>Fuente: Tolerancia al riesgo moderada</t>
        </is>
      </c>
    </row>
    <row r="10" ht="18" customHeight="1">
      <c r="A10" s="2" t="inlineStr">
        <is>
          <t>Ratio Sharpe objetivo</t>
        </is>
      </c>
      <c r="B10" s="3" t="n">
        <v>0.8</v>
      </c>
      <c r="C10" s="2" t="inlineStr"/>
      <c r="D10" s="4" t="inlineStr">
        <is>
          <t>Fuente: Buena gestión riesgo/retorno</t>
        </is>
      </c>
    </row>
    <row r="11" ht="8" customHeight="1"/>
    <row r="12">
      <c r="A12" s="5" t="inlineStr">
        <is>
          <t>CATEGORÍA</t>
        </is>
      </c>
      <c r="B12" s="6" t="inlineStr">
        <is>
          <t>Peso objetivo</t>
        </is>
      </c>
      <c r="C12" s="6" t="inlineStr"/>
      <c r="D12" s="6" t="inlineStr">
        <is>
          <t>Peso actual (auto)</t>
        </is>
      </c>
      <c r="E12" s="6" t="inlineStr">
        <is>
          <t>Rent. esperada anual</t>
        </is>
      </c>
      <c r="F12" s="6" t="inlineStr">
        <is>
          <t>Volatilidad esperada</t>
        </is>
      </c>
      <c r="G12" s="6" t="inlineStr">
        <is>
          <t>Sharpe estimado</t>
        </is>
      </c>
    </row>
    <row r="13" ht="18" customHeight="1">
      <c r="A13" s="7" t="inlineStr">
        <is>
          <t>Renta Fija (RF)</t>
        </is>
      </c>
      <c r="B13" s="8" t="n">
        <v>0.65</v>
      </c>
      <c r="C13" s="2" t="inlineStr"/>
      <c r="D13" s="14" t="n">
        <v>0.7473</v>
      </c>
      <c r="E13" s="8" t="n">
        <v>0.065</v>
      </c>
      <c r="F13" s="8" t="n">
        <v>0.04</v>
      </c>
      <c r="G13" s="10">
        <f>(E13-$B$2)/F13</f>
        <v/>
      </c>
    </row>
    <row r="14" ht="18" customHeight="1">
      <c r="A14" s="7" t="inlineStr">
        <is>
          <t>Renta Variable (RV)</t>
        </is>
      </c>
      <c r="B14" s="8" t="n">
        <v>0.33</v>
      </c>
      <c r="C14" s="2" t="inlineStr"/>
      <c r="D14" s="14" t="n">
        <v>0.2163</v>
      </c>
      <c r="E14" s="8" t="n">
        <v>0.12</v>
      </c>
      <c r="F14" s="8" t="n">
        <v>0.15</v>
      </c>
      <c r="G14" s="10">
        <f>(E14-$B$2)/F14</f>
        <v/>
      </c>
    </row>
    <row r="15" ht="18" customHeight="1">
      <c r="A15" s="7" t="inlineStr">
        <is>
          <t>Otros / SCR</t>
        </is>
      </c>
      <c r="B15" s="8" t="n">
        <v>0.02</v>
      </c>
      <c r="C15" s="2" t="inlineStr"/>
      <c r="D15" s="14" t="n">
        <v>0.0364</v>
      </c>
      <c r="E15" s="8" t="n">
        <v>0</v>
      </c>
      <c r="F15" s="8" t="n">
        <v>0</v>
      </c>
      <c r="G15" s="10" t="inlineStr">
        <is>
          <t>—</t>
        </is>
      </c>
    </row>
    <row r="16" ht="8" customHeight="1"/>
    <row r="17">
      <c r="A17" s="5" t="inlineStr">
        <is>
          <t>MÉTRICAS GLOBALES CALCULADAS</t>
        </is>
      </c>
      <c r="B17" s="6" t="inlineStr">
        <is>
          <t>Valor</t>
        </is>
      </c>
      <c r="D17" s="5" t="inlineStr">
        <is>
          <t>PARÁMETROS TEMPORALES</t>
        </is>
      </c>
      <c r="E17" s="6" t="inlineStr">
        <is>
          <t>Valor</t>
        </is>
      </c>
    </row>
    <row r="18" ht="18" customHeight="1">
      <c r="A18" s="2" t="inlineStr">
        <is>
          <t>Rentabilidad esperada cartera</t>
        </is>
      </c>
      <c r="B18" s="11" t="n">
        <v>0.08185000000000001</v>
      </c>
      <c r="D18" s="2" t="inlineStr">
        <is>
          <t>Fecha cotización</t>
        </is>
      </c>
      <c r="E18" s="12" t="inlineStr">
        <is>
          <t>22/02/2026</t>
        </is>
      </c>
    </row>
    <row r="19" ht="18" customHeight="1">
      <c r="A19" s="2" t="inlineStr">
        <is>
          <t>Volatilidad esperada cartera</t>
        </is>
      </c>
      <c r="B19" s="11" t="n">
        <v>0.05591287865957181</v>
      </c>
      <c r="D19" s="2" t="inlineStr">
        <is>
          <t>Horizonte inversión (años)</t>
        </is>
      </c>
      <c r="E19" s="12" t="n">
        <v>10</v>
      </c>
    </row>
    <row r="20" ht="18" customHeight="1">
      <c r="A20" s="2" t="inlineStr">
        <is>
          <t>Sharpe estimado cartera</t>
        </is>
      </c>
      <c r="B20" s="10" t="n">
        <v>1.106185220342108</v>
      </c>
      <c r="D20" s="2" t="inlineStr">
        <is>
          <t>Frecuencia rebalanceo</t>
        </is>
      </c>
      <c r="E20" s="12" t="inlineStr">
        <is>
          <t>Semestral</t>
        </is>
      </c>
    </row>
    <row r="21" ht="18" customHeight="1">
      <c r="A21" s="2" t="inlineStr">
        <is>
          <t>Capital total invertido</t>
        </is>
      </c>
      <c r="B21" s="13" t="n">
        <v>150661.49</v>
      </c>
      <c r="D21" s="2" t="inlineStr">
        <is>
          <t>Benchmark RF</t>
        </is>
      </c>
      <c r="E21" s="12" t="inlineStr">
        <is>
          <t>GVC RF Horizonte</t>
        </is>
      </c>
    </row>
    <row r="22" ht="18" customHeight="1">
      <c r="A22" s="2" t="inlineStr">
        <is>
          <t>Valor total cartera</t>
        </is>
      </c>
      <c r="B22" s="13" t="n">
        <v>165025.68</v>
      </c>
      <c r="D22" s="2" t="inlineStr">
        <is>
          <t>Benchmark RV</t>
        </is>
      </c>
      <c r="E22" s="12" t="inlineStr">
        <is>
          <t>MSCI World</t>
        </is>
      </c>
    </row>
    <row r="23" ht="18" customHeight="1">
      <c r="A23" s="2" t="inlineStr">
        <is>
          <t>Ganancia / Pérdida total</t>
        </is>
      </c>
      <c r="B23" s="13" t="n">
        <v>14364.19</v>
      </c>
    </row>
    <row r="24" ht="18" customHeight="1">
      <c r="A24" s="2" t="inlineStr">
        <is>
          <t>Rentabilidad total real</t>
        </is>
      </c>
      <c r="B24" s="11" t="n">
        <v>0.09534082000649272</v>
      </c>
    </row>
    <row r="25" ht="18" customHeight="1">
      <c r="A25" s="2" t="inlineStr">
        <is>
          <t>Rent. esperada 10 años</t>
        </is>
      </c>
      <c r="B25" s="14" t="n">
        <v>1.196192955329826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5C518"/>
    <outlinePr summaryBelow="1" summaryRight="1"/>
    <pageSetUpPr/>
  </sheetPr>
  <dimension ref="A1:Q22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6" customWidth="1" min="3" max="3"/>
    <col width="8" customWidth="1" min="4" max="4"/>
    <col width="10" customWidth="1" min="5" max="5"/>
    <col width="10" customWidth="1" min="6" max="6"/>
    <col width="11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2" customWidth="1" min="15" max="15"/>
    <col width="12" customWidth="1" min="16" max="16"/>
    <col width="15" customWidth="1" min="17" max="17"/>
  </cols>
  <sheetData>
    <row r="1" ht="28" customHeight="1">
      <c r="A1" s="1" t="inlineStr">
        <is>
          <t>📋  POSICIONES DE CARTERA — Datos reales a 22/02/2026 · Fuente: GVC Gaesco</t>
        </is>
      </c>
    </row>
    <row r="2" ht="16" customHeight="1">
      <c r="A2" s="15" t="inlineStr">
        <is>
          <t>🔵 AZUL = celda que actualizas tú  |  ⚫ NEGRO = fórmula automática  |  🟡 AMARILLO = actualizar precio hoy  |  Añade nuevas filas antes de la fila TOTAL</t>
        </is>
      </c>
    </row>
    <row r="3" ht="6" customHeight="1"/>
    <row r="4" ht="22" customHeight="1">
      <c r="A4" s="6" t="inlineStr">
        <is>
          <t>#</t>
        </is>
      </c>
      <c r="B4" s="6" t="inlineStr">
        <is>
          <t>Nombre del Activo</t>
        </is>
      </c>
      <c r="C4" s="6" t="inlineStr">
        <is>
          <t>Cat.</t>
        </is>
      </c>
      <c r="D4" s="6" t="inlineStr">
        <is>
          <t>Cuenta</t>
        </is>
      </c>
      <c r="E4" s="6" t="inlineStr">
        <is>
          <t>Nº Particip.</t>
        </is>
      </c>
      <c r="F4" s="6" t="inlineStr">
        <is>
          <t>Precio coste (€)</t>
        </is>
      </c>
      <c r="G4" s="6" t="inlineStr">
        <is>
          <t>Total invertido (€)</t>
        </is>
      </c>
      <c r="H4" s="6" t="inlineStr">
        <is>
          <t>Precio hoy (€)</t>
        </is>
      </c>
      <c r="I4" s="6" t="inlineStr">
        <is>
          <t>Valor actual (€)</t>
        </is>
      </c>
      <c r="J4" s="6" t="inlineStr">
        <is>
          <t>G/P (€)</t>
        </is>
      </c>
      <c r="K4" s="6" t="inlineStr">
        <is>
          <t>Rent. Total %</t>
        </is>
      </c>
      <c r="L4" s="6" t="inlineStr">
        <is>
          <t>YTD %</t>
        </is>
      </c>
      <c r="M4" s="6" t="inlineStr">
        <is>
          <t>MTD %</t>
        </is>
      </c>
      <c r="N4" s="6" t="inlineStr">
        <is>
          <t>Peso cartera %</t>
        </is>
      </c>
      <c r="O4" s="6" t="inlineStr">
        <is>
          <t>Fecha 1ª compra</t>
        </is>
      </c>
      <c r="P4" s="6" t="inlineStr">
        <is>
          <t>Rent. esperada cat.</t>
        </is>
      </c>
      <c r="Q4" s="6" t="inlineStr">
        <is>
          <t>Notas</t>
        </is>
      </c>
    </row>
    <row r="5" ht="18" customHeight="1">
      <c r="A5" s="16" t="n">
        <v>1</v>
      </c>
      <c r="B5" s="17" t="inlineStr">
        <is>
          <t>GVC Gaesco RF Horizonte 2027 Clase A</t>
        </is>
      </c>
      <c r="C5" s="18" t="inlineStr">
        <is>
          <t>RF</t>
        </is>
      </c>
      <c r="D5" s="19" t="inlineStr">
        <is>
          <t>GB.70000505</t>
        </is>
      </c>
      <c r="E5" s="20" t="n">
        <v>399.703704</v>
      </c>
      <c r="F5" s="21" t="n">
        <v>100.07</v>
      </c>
      <c r="G5" s="21" t="n">
        <v>40000</v>
      </c>
      <c r="H5" s="22" t="n">
        <v>115.24</v>
      </c>
      <c r="I5" s="23" t="n">
        <v>46060.31</v>
      </c>
      <c r="J5" s="23" t="n">
        <v>6060.31</v>
      </c>
      <c r="K5" s="24" t="n">
        <v>0.1515</v>
      </c>
      <c r="L5" s="25" t="n">
        <v>0.0015</v>
      </c>
      <c r="M5" s="25" t="n">
        <v>0.0005</v>
      </c>
      <c r="N5" s="24" t="n">
        <v>0.27911</v>
      </c>
      <c r="O5" s="16" t="inlineStr">
        <is>
          <t>21/06/2023</t>
        </is>
      </c>
      <c r="P5" s="26">
        <f>'⚙️ INPUTS'!E13</f>
        <v/>
      </c>
      <c r="Q5" s="19" t="inlineStr">
        <is>
          <t>Una compra única. Vence 2027.</t>
        </is>
      </c>
    </row>
    <row r="6" ht="18" customHeight="1">
      <c r="A6" s="16" t="n">
        <v>2</v>
      </c>
      <c r="B6" s="17" t="inlineStr">
        <is>
          <t>GVC Gaesco Renta Fija Flexible FI A</t>
        </is>
      </c>
      <c r="C6" s="18" t="inlineStr">
        <is>
          <t>RF</t>
        </is>
      </c>
      <c r="D6" s="19" t="inlineStr">
        <is>
          <t>GB.70000505 + 70007162</t>
        </is>
      </c>
      <c r="E6" s="20" t="n">
        <v>5452.33829</v>
      </c>
      <c r="F6" s="23">
        <f>G6/E6</f>
        <v/>
      </c>
      <c r="G6" s="21" t="n">
        <v>58131.75</v>
      </c>
      <c r="H6" s="22" t="n">
        <v>11.3</v>
      </c>
      <c r="I6" s="23" t="n">
        <v>61600.59</v>
      </c>
      <c r="J6" s="23" t="n">
        <v>3468.84</v>
      </c>
      <c r="K6" s="24" t="n">
        <v>0.0596</v>
      </c>
      <c r="L6" s="25" t="n">
        <v>0.0092</v>
      </c>
      <c r="M6" s="25" t="n">
        <v>0.0033</v>
      </c>
      <c r="N6" s="24" t="n">
        <v>0.373279</v>
      </c>
      <c r="O6" s="16" t="inlineStr">
        <is>
          <t>21/05/2024</t>
        </is>
      </c>
      <c r="P6" s="26">
        <f>'⚙️ INPUTS'!E13</f>
        <v/>
      </c>
      <c r="Q6" s="19" t="inlineStr">
        <is>
          <t>Posición en dos cuentas: 3360 (Eneko) + 2092 (conjunta)</t>
        </is>
      </c>
    </row>
    <row r="7" ht="18" customHeight="1">
      <c r="A7" s="16" t="n">
        <v>3</v>
      </c>
      <c r="B7" s="17" t="inlineStr">
        <is>
          <t>GVC Gaesco Constantfons FI</t>
        </is>
      </c>
      <c r="C7" s="18" t="inlineStr">
        <is>
          <t>RF</t>
        </is>
      </c>
      <c r="D7" s="19" t="inlineStr">
        <is>
          <t>GB.70000505</t>
        </is>
      </c>
      <c r="E7" s="20" t="n">
        <v>1523.517112</v>
      </c>
      <c r="F7" s="21" t="n">
        <v>9.470000000000001</v>
      </c>
      <c r="G7" s="21" t="n">
        <v>14419.56</v>
      </c>
      <c r="H7" s="22" t="n">
        <v>9.76</v>
      </c>
      <c r="I7" s="23" t="n">
        <v>14865.14</v>
      </c>
      <c r="J7" s="23" t="n">
        <v>445.58</v>
      </c>
      <c r="K7" s="24" t="n">
        <v>0.0309</v>
      </c>
      <c r="L7" s="25" t="n">
        <v>0.0026</v>
      </c>
      <c r="M7" s="25" t="n">
        <v>0.001</v>
      </c>
      <c r="N7" s="24" t="n">
        <v>0.09007800000000001</v>
      </c>
      <c r="O7" s="16" t="inlineStr">
        <is>
          <t>21/06/2023</t>
        </is>
      </c>
      <c r="P7" s="26">
        <f>'⚙️ INPUTS'!E13</f>
        <v/>
      </c>
      <c r="Q7" s="19" t="inlineStr">
        <is>
          <t>Fondo monetario/RF corto plazo</t>
        </is>
      </c>
    </row>
    <row r="8" ht="18" customHeight="1">
      <c r="A8" s="27" t="n">
        <v>4</v>
      </c>
      <c r="B8" s="28" t="inlineStr">
        <is>
          <t>GVC Gaesco 300 Places World A</t>
        </is>
      </c>
      <c r="C8" s="29" t="inlineStr">
        <is>
          <t>RV</t>
        </is>
      </c>
      <c r="D8" s="30" t="inlineStr">
        <is>
          <t>Tres cuentas</t>
        </is>
      </c>
      <c r="E8" s="31" t="n">
        <v>455.602225</v>
      </c>
      <c r="F8" s="32">
        <f>G8/E8</f>
        <v/>
      </c>
      <c r="G8" s="33" t="n">
        <v>6205</v>
      </c>
      <c r="H8" s="22" t="n">
        <v>16.84</v>
      </c>
      <c r="I8" s="32" t="n">
        <v>7670.48</v>
      </c>
      <c r="J8" s="32" t="n">
        <v>1465.5</v>
      </c>
      <c r="K8" s="34" t="n">
        <v>0.2362</v>
      </c>
      <c r="L8" s="35" t="n">
        <v>0.038</v>
      </c>
      <c r="M8" s="35" t="n">
        <v>0.012</v>
      </c>
      <c r="N8" s="34" t="n">
        <v>0.046481</v>
      </c>
      <c r="O8" s="27" t="inlineStr">
        <is>
          <t>20/12/2021</t>
        </is>
      </c>
      <c r="P8" s="36">
        <f>'⚙️ INPUTS'!E14</f>
        <v/>
      </c>
      <c r="Q8" s="30" t="inlineStr">
        <is>
          <t>DCA mensual €50-120 desde dic 2021. Posición en 3 cuentas.</t>
        </is>
      </c>
    </row>
    <row r="9" ht="18" customHeight="1">
      <c r="A9" s="27" t="n">
        <v>5</v>
      </c>
      <c r="B9" s="28" t="inlineStr">
        <is>
          <t>GVC Gaesco Japón FI</t>
        </is>
      </c>
      <c r="C9" s="29" t="inlineStr">
        <is>
          <t>RV</t>
        </is>
      </c>
      <c r="D9" s="30" t="inlineStr">
        <is>
          <t>Tres cuentas</t>
        </is>
      </c>
      <c r="E9" s="31" t="n">
        <v>286.13117</v>
      </c>
      <c r="F9" s="32">
        <f>G9/E9</f>
        <v/>
      </c>
      <c r="G9" s="33" t="n">
        <v>3555</v>
      </c>
      <c r="H9" s="22" t="n">
        <v>15.01</v>
      </c>
      <c r="I9" s="32" t="n">
        <v>4296.26</v>
      </c>
      <c r="J9" s="32" t="n">
        <v>741.26</v>
      </c>
      <c r="K9" s="34" t="n">
        <v>0.2085</v>
      </c>
      <c r="L9" s="35" t="n">
        <v>0.0128</v>
      </c>
      <c r="M9" s="35" t="n">
        <v>0.0042</v>
      </c>
      <c r="N9" s="34" t="n">
        <v>0.026034</v>
      </c>
      <c r="O9" s="27" t="inlineStr">
        <is>
          <t>15/04/2024</t>
        </is>
      </c>
      <c r="P9" s="36">
        <f>'⚙️ INPUTS'!E14</f>
        <v/>
      </c>
      <c r="Q9" s="30" t="inlineStr">
        <is>
          <t>DCA mensual desde abr 2024. Posición en 3 cuentas.</t>
        </is>
      </c>
    </row>
    <row r="10" ht="18" customHeight="1">
      <c r="A10" s="27" t="n">
        <v>6</v>
      </c>
      <c r="B10" s="28" t="inlineStr">
        <is>
          <t>GVC Gaesco Value Minu A</t>
        </is>
      </c>
      <c r="C10" s="29" t="inlineStr">
        <is>
          <t>RV</t>
        </is>
      </c>
      <c r="D10" s="30" t="inlineStr">
        <is>
          <t>GB.70000506</t>
        </is>
      </c>
      <c r="E10" s="31" t="n">
        <v>760.432862</v>
      </c>
      <c r="F10" s="33" t="n">
        <v>8.09</v>
      </c>
      <c r="G10" s="33" t="n">
        <v>6150.18</v>
      </c>
      <c r="H10" s="22" t="n">
        <v>9.140000000000001</v>
      </c>
      <c r="I10" s="32" t="n">
        <v>6953.1</v>
      </c>
      <c r="J10" s="32" t="n">
        <v>802.92</v>
      </c>
      <c r="K10" s="34" t="n">
        <v>0.1306</v>
      </c>
      <c r="L10" s="35" t="n">
        <v>0</v>
      </c>
      <c r="M10" s="35" t="n">
        <v>0</v>
      </c>
      <c r="N10" s="34" t="n">
        <v>0.042133</v>
      </c>
      <c r="O10" s="27" t="inlineStr">
        <is>
          <t>05/12/2025</t>
        </is>
      </c>
      <c r="P10" s="36">
        <f>'⚙️ INPUTS'!E14</f>
        <v/>
      </c>
      <c r="Q10" s="30" t="inlineStr">
        <is>
          <t>Compra única diciembre 2025</t>
        </is>
      </c>
    </row>
    <row r="11" ht="18" customHeight="1">
      <c r="A11" s="27" t="n">
        <v>7</v>
      </c>
      <c r="B11" s="28" t="inlineStr">
        <is>
          <t>GVC Gaesco Zebra US Small Cap</t>
        </is>
      </c>
      <c r="C11" s="29" t="inlineStr">
        <is>
          <t>RV</t>
        </is>
      </c>
      <c r="D11" s="30" t="inlineStr">
        <is>
          <t>GB.70007162</t>
        </is>
      </c>
      <c r="E11" s="31" t="n">
        <v>79.785203</v>
      </c>
      <c r="F11" s="32">
        <f>G11/E11</f>
        <v/>
      </c>
      <c r="G11" s="33" t="n">
        <v>7340</v>
      </c>
      <c r="H11" s="22" t="n">
        <v>100.34</v>
      </c>
      <c r="I11" s="32" t="n">
        <v>8005.43</v>
      </c>
      <c r="J11" s="32" t="n">
        <v>665.4299999999999</v>
      </c>
      <c r="K11" s="34" t="n">
        <v>0.0907</v>
      </c>
      <c r="L11" s="35" t="n">
        <v>0.0405</v>
      </c>
      <c r="M11" s="35" t="n">
        <v>0.027</v>
      </c>
      <c r="N11" s="34" t="n">
        <v>0.04851</v>
      </c>
      <c r="O11" s="27" t="inlineStr">
        <is>
          <t>16/06/2025</t>
        </is>
      </c>
      <c r="P11" s="36">
        <f>'⚙️ INPUTS'!E14</f>
        <v/>
      </c>
      <c r="Q11" s="30" t="inlineStr">
        <is>
          <t>DCA mensual desde jun 2025</t>
        </is>
      </c>
    </row>
    <row r="12" ht="18" customHeight="1">
      <c r="A12" s="27" t="n">
        <v>8</v>
      </c>
      <c r="B12" s="28" t="inlineStr">
        <is>
          <t>GVC Gaesco Global Equity DS A</t>
        </is>
      </c>
      <c r="C12" s="29" t="inlineStr">
        <is>
          <t>RV</t>
        </is>
      </c>
      <c r="D12" s="30" t="inlineStr">
        <is>
          <t>GB.70007162</t>
        </is>
      </c>
      <c r="E12" s="31" t="n">
        <v>116.746223</v>
      </c>
      <c r="F12" s="32">
        <f>G12/E12</f>
        <v/>
      </c>
      <c r="G12" s="33" t="n">
        <v>1800</v>
      </c>
      <c r="H12" s="22" t="n">
        <v>17.61</v>
      </c>
      <c r="I12" s="32" t="n">
        <v>2055.96</v>
      </c>
      <c r="J12" s="32" t="n">
        <v>255.96</v>
      </c>
      <c r="K12" s="34" t="n">
        <v>0.1422</v>
      </c>
      <c r="L12" s="35" t="n">
        <v>0.0142</v>
      </c>
      <c r="M12" s="35" t="n">
        <v>0.0049</v>
      </c>
      <c r="N12" s="34" t="n">
        <v>0.012458</v>
      </c>
      <c r="O12" s="27" t="inlineStr">
        <is>
          <t>20/06/2025</t>
        </is>
      </c>
      <c r="P12" s="36">
        <f>'⚙️ INPUTS'!E14</f>
        <v/>
      </c>
      <c r="Q12" s="30" t="inlineStr">
        <is>
          <t>DCA mensual desde jun 2025</t>
        </is>
      </c>
    </row>
    <row r="13" ht="18" customHeight="1">
      <c r="A13" s="27" t="n">
        <v>9</v>
      </c>
      <c r="B13" s="28" t="inlineStr">
        <is>
          <t>GVC Gaesco Small Caps A</t>
        </is>
      </c>
      <c r="C13" s="29" t="inlineStr">
        <is>
          <t>RV</t>
        </is>
      </c>
      <c r="D13" s="30" t="inlineStr">
        <is>
          <t>GB.70007162</t>
        </is>
      </c>
      <c r="E13" s="31" t="n">
        <v>91.886381</v>
      </c>
      <c r="F13" s="32">
        <f>G13/E13</f>
        <v/>
      </c>
      <c r="G13" s="33" t="n">
        <v>1440</v>
      </c>
      <c r="H13" s="22" t="n">
        <v>16.68</v>
      </c>
      <c r="I13" s="32" t="n">
        <v>1532.9</v>
      </c>
      <c r="J13" s="32" t="n">
        <v>92.90000000000001</v>
      </c>
      <c r="K13" s="34" t="n">
        <v>0.0645</v>
      </c>
      <c r="L13" s="35" t="n">
        <v>0.0064</v>
      </c>
      <c r="M13" s="35" t="n">
        <v>0.0022</v>
      </c>
      <c r="N13" s="34" t="n">
        <v>0.009289</v>
      </c>
      <c r="O13" s="27" t="inlineStr">
        <is>
          <t>20/06/2025</t>
        </is>
      </c>
      <c r="P13" s="36">
        <f>'⚙️ INPUTS'!E14</f>
        <v/>
      </c>
      <c r="Q13" s="30" t="inlineStr">
        <is>
          <t>DCA mensual desde jun 2025</t>
        </is>
      </c>
    </row>
    <row r="14" ht="18" customHeight="1">
      <c r="A14" s="27" t="n">
        <v>10</v>
      </c>
      <c r="B14" s="28" t="inlineStr">
        <is>
          <t>GVC Gaesco Emergentfo</t>
        </is>
      </c>
      <c r="C14" s="29" t="inlineStr">
        <is>
          <t>RV</t>
        </is>
      </c>
      <c r="D14" s="30" t="inlineStr">
        <is>
          <t>GB.70007162</t>
        </is>
      </c>
      <c r="E14" s="31" t="n">
        <v>4.69524</v>
      </c>
      <c r="F14" s="33" t="n">
        <v>238.55</v>
      </c>
      <c r="G14" s="33" t="n">
        <v>1120</v>
      </c>
      <c r="H14" s="22" t="n">
        <v>268.04</v>
      </c>
      <c r="I14" s="32" t="n">
        <v>1258.51</v>
      </c>
      <c r="J14" s="32" t="n">
        <v>138.51</v>
      </c>
      <c r="K14" s="34" t="n">
        <v>0.1237</v>
      </c>
      <c r="L14" s="35" t="n">
        <v>0.0124</v>
      </c>
      <c r="M14" s="35" t="n">
        <v>0.0037</v>
      </c>
      <c r="N14" s="34" t="n">
        <v>0.007626</v>
      </c>
      <c r="O14" s="27" t="inlineStr">
        <is>
          <t>20/06/2025</t>
        </is>
      </c>
      <c r="P14" s="36">
        <f>'⚙️ INPUTS'!E14</f>
        <v/>
      </c>
      <c r="Q14" s="30" t="inlineStr">
        <is>
          <t>DCA mensual mercados emergentes</t>
        </is>
      </c>
    </row>
    <row r="15" ht="18" customHeight="1">
      <c r="A15" s="27" t="n">
        <v>11</v>
      </c>
      <c r="B15" s="28" t="inlineStr">
        <is>
          <t>GVC Gaesco V.I.F Clase A FI</t>
        </is>
      </c>
      <c r="C15" s="29" t="inlineStr">
        <is>
          <t>RV</t>
        </is>
      </c>
      <c r="D15" s="30" t="inlineStr">
        <is>
          <t>GB.70007162</t>
        </is>
      </c>
      <c r="E15" s="31" t="n">
        <v>173.523651</v>
      </c>
      <c r="F15" s="33" t="n">
        <v>8.640000000000001</v>
      </c>
      <c r="G15" s="33" t="n">
        <v>1500</v>
      </c>
      <c r="H15" s="22" t="n">
        <v>8.98</v>
      </c>
      <c r="I15" s="32" t="n">
        <v>1558.79</v>
      </c>
      <c r="J15" s="32" t="n">
        <v>58.79</v>
      </c>
      <c r="K15" s="34" t="n">
        <v>0.0392</v>
      </c>
      <c r="L15" s="35" t="n">
        <v>0.0039</v>
      </c>
      <c r="M15" s="35" t="n">
        <v>0.0013</v>
      </c>
      <c r="N15" s="34" t="n">
        <v>0.009446</v>
      </c>
      <c r="O15" s="27" t="inlineStr">
        <is>
          <t>20/06/2025</t>
        </is>
      </c>
      <c r="P15" s="36">
        <f>'⚙️ INPUTS'!E14</f>
        <v/>
      </c>
      <c r="Q15" s="30" t="inlineStr">
        <is>
          <t>Value investing fund</t>
        </is>
      </c>
    </row>
    <row r="16" ht="18" customHeight="1">
      <c r="A16" s="37" t="n">
        <v>12</v>
      </c>
      <c r="B16" s="38" t="inlineStr">
        <is>
          <t>Next Tier GVC Gaesco SCR</t>
        </is>
      </c>
      <c r="C16" s="39" t="inlineStr">
        <is>
          <t>SCR</t>
        </is>
      </c>
      <c r="D16" s="40" t="inlineStr">
        <is>
          <t>GB.70000505</t>
        </is>
      </c>
      <c r="E16" s="41" t="n">
        <v>6000</v>
      </c>
      <c r="F16" s="42" t="n">
        <v>1</v>
      </c>
      <c r="G16" s="42" t="n">
        <v>6000</v>
      </c>
      <c r="H16" s="22" t="n">
        <v>1</v>
      </c>
      <c r="I16" s="43" t="n">
        <v>6000</v>
      </c>
      <c r="J16" s="43" t="n">
        <v>0</v>
      </c>
      <c r="K16" s="44" t="n">
        <v>0</v>
      </c>
      <c r="L16" s="45" t="n">
        <v>0</v>
      </c>
      <c r="M16" s="45" t="n">
        <v>0</v>
      </c>
      <c r="N16" s="44" t="n">
        <v>0.036358</v>
      </c>
      <c r="O16" s="37" t="inlineStr">
        <is>
          <t>06/05/2025</t>
        </is>
      </c>
      <c r="P16" s="46" t="n">
        <v>0</v>
      </c>
      <c r="Q16" s="40" t="inlineStr">
        <is>
          <t>Capital riesgo – precio no cotiza en mercado secundario</t>
        </is>
      </c>
    </row>
    <row r="17" ht="18" customHeight="1">
      <c r="A17" s="27" t="n">
        <v>13</v>
      </c>
      <c r="B17" s="28" t="inlineStr">
        <is>
          <t>Fidelity MSCI World Index P EUR Acc</t>
        </is>
      </c>
      <c r="C17" s="29" t="inlineStr">
        <is>
          <t>RV</t>
        </is>
      </c>
      <c r="D17" s="89" t="inlineStr">
        <is>
          <t>Cuenta 1839035</t>
        </is>
      </c>
      <c r="E17" s="88" t="n">
        <v>94.226</v>
      </c>
      <c r="F17" s="32" t="n">
        <v>11.67406</v>
      </c>
      <c r="G17" s="90" t="n">
        <v>1100</v>
      </c>
      <c r="H17" s="22" t="n">
        <v>12.609962</v>
      </c>
      <c r="I17" s="32" t="n">
        <v>1188.19</v>
      </c>
      <c r="J17" s="32" t="n">
        <v>88.19</v>
      </c>
      <c r="K17" s="34" t="n">
        <v>0.08017272727272727</v>
      </c>
      <c r="L17" s="35" t="n">
        <v>0.0255</v>
      </c>
      <c r="M17" s="35" t="n">
        <v>-0.0174</v>
      </c>
      <c r="N17" s="34" t="n">
        <v>0.0072</v>
      </c>
      <c r="O17" s="27" t="inlineStr">
        <is>
          <t>28/03/2025</t>
        </is>
      </c>
      <c r="P17" s="36">
        <f>'⚙️ INPUTS'!E14</f>
        <v/>
      </c>
      <c r="Q17" s="89" t="inlineStr">
        <is>
          <t>DCA €100/mes | ISIN IE00BYX5NX33 | VL 18/02/2026: 12.610€ | Fuente: quefondos.com</t>
        </is>
      </c>
    </row>
    <row r="18" ht="18" customHeight="1">
      <c r="A18" s="27" t="n">
        <v>14</v>
      </c>
      <c r="B18" s="28" t="inlineStr">
        <is>
          <t>Fidelity S&amp;P 500 Index P EUR Acc</t>
        </is>
      </c>
      <c r="C18" s="29" t="inlineStr">
        <is>
          <t>RV</t>
        </is>
      </c>
      <c r="D18" s="89" t="inlineStr">
        <is>
          <t>Cuenta 1819696</t>
        </is>
      </c>
      <c r="E18" s="88" t="n">
        <v>81.59999999999999</v>
      </c>
      <c r="F18" s="32" t="n">
        <v>13.480392</v>
      </c>
      <c r="G18" s="90" t="n">
        <v>1100</v>
      </c>
      <c r="H18" s="22" t="n">
        <v>14.452367</v>
      </c>
      <c r="I18" s="32" t="n">
        <v>1179.31</v>
      </c>
      <c r="J18" s="32" t="n">
        <v>79.31</v>
      </c>
      <c r="K18" s="34" t="n">
        <v>0.0721</v>
      </c>
      <c r="L18" s="35" t="n">
        <v>0.0285</v>
      </c>
      <c r="M18" s="35" t="n">
        <v>-0.0231</v>
      </c>
      <c r="N18" s="34" t="n">
        <v>0.007146</v>
      </c>
      <c r="O18" s="27" t="inlineStr">
        <is>
          <t>28/03/2025</t>
        </is>
      </c>
      <c r="P18" s="36">
        <f>'⚙️ INPUTS'!E14</f>
        <v/>
      </c>
      <c r="Q18" s="89" t="inlineStr">
        <is>
          <t>DCA €100/mes | ISIN IE00BYX5MX67 | VL 20/02/2026: 14.452€ | Fuente: quefondos.com</t>
        </is>
      </c>
    </row>
    <row r="19" ht="18" customHeight="1">
      <c r="A19" s="27" t="n">
        <v>15</v>
      </c>
      <c r="B19" s="28" t="inlineStr">
        <is>
          <t>Pictet China Index P EUR</t>
        </is>
      </c>
      <c r="C19" s="29" t="inlineStr">
        <is>
          <t>RV</t>
        </is>
      </c>
      <c r="D19" s="89" t="inlineStr">
        <is>
          <t>Cuenta 1819696</t>
        </is>
      </c>
      <c r="E19" s="88" t="n">
        <v>5.557</v>
      </c>
      <c r="F19" s="32" t="n">
        <v>143.96257</v>
      </c>
      <c r="G19" s="90" t="n">
        <v>800</v>
      </c>
      <c r="H19" s="22" t="n">
        <v>144.09</v>
      </c>
      <c r="I19" s="32" t="n">
        <v>800.71</v>
      </c>
      <c r="J19" s="32" t="n">
        <v>0.71</v>
      </c>
      <c r="K19" s="34" t="n">
        <v>0.0008874999999999999</v>
      </c>
      <c r="L19" s="35" t="n">
        <v>0.0949</v>
      </c>
      <c r="M19" s="35" t="n">
        <v>-0.0234</v>
      </c>
      <c r="N19" s="91" t="n">
        <v>0.004852</v>
      </c>
      <c r="O19" s="27" t="inlineStr">
        <is>
          <t>01/07/2025</t>
        </is>
      </c>
      <c r="Q19" s="89" t="inlineStr">
        <is>
          <t>DCA €100/mes | ISIN LU0625737910 | VL ~144€ feb 2026 | Fuente: stockevents.app</t>
        </is>
      </c>
    </row>
    <row r="20" ht="22" customHeight="1">
      <c r="A20" s="48" t="inlineStr">
        <is>
          <t>TOTAL CARTERA</t>
        </is>
      </c>
      <c r="E20" s="92" t="n"/>
      <c r="F20" s="92" t="n"/>
      <c r="G20" s="49" t="n">
        <v>150661.49</v>
      </c>
      <c r="H20" s="92" t="n"/>
      <c r="I20" s="49" t="n">
        <v>165025.68</v>
      </c>
      <c r="J20" s="49" t="n">
        <v>14364.19</v>
      </c>
      <c r="K20" s="50" t="n">
        <v>0.09534082000649272</v>
      </c>
      <c r="L20" s="92" t="n"/>
      <c r="M20" s="92" t="n"/>
      <c r="N20" s="50" t="n">
        <v>1</v>
      </c>
      <c r="O20" s="92" t="n"/>
      <c r="P20" s="92" t="n"/>
      <c r="Q20" s="92" t="n"/>
    </row>
    <row r="21">
      <c r="A21" s="52" t="inlineStr">
        <is>
          <t>📌  CÓMO ACTUALIZAR: (1) Actualiza columna H «Precio hoy» con los valores liquidativos actuales de GVC  (2) Actualiza columnas L y M con YTD% y MTD% del informe mensual  (3) Para nuevas aportaciones: añade una fila antes de la fila TOTAL con el mismo formato  (4) Guarda y sube el Excel al dashboard</t>
        </is>
      </c>
    </row>
    <row r="22" ht="32" customHeight="1"/>
  </sheetData>
  <mergeCells count="4">
    <mergeCell ref="A2:Q2"/>
    <mergeCell ref="A22:Q22"/>
    <mergeCell ref="A1:Q1"/>
    <mergeCell ref="A20:D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E5A0"/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3" customWidth="1" min="4" max="4"/>
    <col width="20" customWidth="1" min="5" max="5"/>
    <col width="16" customWidth="1" min="6" max="6"/>
    <col width="3" customWidth="1" min="7" max="7"/>
    <col width="20" customWidth="1" min="8" max="8"/>
    <col width="16" customWidth="1" min="9" max="9"/>
    <col width="3" customWidth="1" min="10" max="10"/>
  </cols>
  <sheetData>
    <row r="1" ht="32" customHeight="1">
      <c r="A1" s="53" t="inlineStr">
        <is>
          <t>📊  CUADRO DE MANDO — Cartera GVC Gaesco | Eneko Eguialde + Maite Hormaechea</t>
        </is>
      </c>
    </row>
    <row r="2" ht="16" customHeight="1">
      <c r="A2" s="15" t="inlineStr">
        <is>
          <t>Datos a 22/02/2026 · Se actualiza automáticamente al subir el Excel al dashboard web</t>
        </is>
      </c>
    </row>
    <row r="3" ht="8" customHeight="1"/>
    <row r="4" ht="16" customHeight="1">
      <c r="B4" s="54" t="inlineStr">
        <is>
          <t>💰 VALOR TOTAL</t>
        </is>
      </c>
      <c r="E4" s="54" t="inlineStr">
        <is>
          <t>📈 GANANCIA / PÉRDIDA</t>
        </is>
      </c>
      <c r="H4" s="54" t="inlineStr">
        <is>
          <t>📊 RENT. TOTAL</t>
        </is>
      </c>
    </row>
    <row r="5" ht="30" customHeight="1">
      <c r="B5" s="55">
        <f>'📋 ACTIVOS'!I20</f>
        <v/>
      </c>
      <c r="E5" s="56">
        <f>'📋 ACTIVOS'!J20</f>
        <v/>
      </c>
      <c r="H5" s="57">
        <f>'📋 ACTIVOS'!K20</f>
        <v/>
      </c>
    </row>
    <row r="6" ht="6" customHeight="1"/>
    <row r="9" ht="16" customHeight="1">
      <c r="B9" s="58" t="inlineStr">
        <is>
          <t>💵 TOTAL INVERTIDO</t>
        </is>
      </c>
      <c r="E9" s="59" t="inlineStr">
        <is>
          <t>📉 SHARPE EST.</t>
        </is>
      </c>
      <c r="H9" s="58" t="inlineStr">
        <is>
          <t>🎯 RENT. ESPERADA</t>
        </is>
      </c>
    </row>
    <row r="10" ht="30" customHeight="1">
      <c r="B10" s="55">
        <f>'📋 ACTIVOS'!G20</f>
        <v/>
      </c>
      <c r="E10" s="60">
        <f>'⚙️ INPUTS'!B20</f>
        <v/>
      </c>
      <c r="H10" s="57">
        <f>'⚙️ INPUTS'!B18</f>
        <v/>
      </c>
    </row>
    <row r="11" ht="6" customHeight="1"/>
    <row r="15" ht="8" customHeight="1"/>
    <row r="16" ht="22" customHeight="1">
      <c r="A16" s="48" t="inlineStr">
        <is>
          <t>RESUMEN POR CATEGORÍA</t>
        </is>
      </c>
    </row>
    <row r="17" ht="18" customHeight="1">
      <c r="B17" s="6" t="inlineStr">
        <is>
          <t>Categoría</t>
        </is>
      </c>
      <c r="C17" s="6" t="inlineStr">
        <is>
          <t>Total Invertido</t>
        </is>
      </c>
      <c r="D17" s="6" t="inlineStr">
        <is>
          <t>Valor Actual</t>
        </is>
      </c>
      <c r="E17" s="6" t="inlineStr">
        <is>
          <t>G/P €</t>
        </is>
      </c>
      <c r="F17" s="6" t="inlineStr">
        <is>
          <t>Rent. Total</t>
        </is>
      </c>
      <c r="G17" s="6" t="inlineStr">
        <is>
          <t>YTD %</t>
        </is>
      </c>
      <c r="H17" s="6" t="inlineStr">
        <is>
          <t>Peso %</t>
        </is>
      </c>
      <c r="I17" s="6" t="inlineStr">
        <is>
          <t>Rent. Esp.</t>
        </is>
      </c>
    </row>
    <row r="18" ht="18" customHeight="1">
      <c r="B18" s="61" t="inlineStr">
        <is>
          <t>🟢 Renta Fija (RF)</t>
        </is>
      </c>
      <c r="C18" s="23">
        <f>SUMIF('📋 ACTIVOS'!C5:C19,"RF",'📋 ACTIVOS'!G5:G19)</f>
        <v/>
      </c>
      <c r="D18" s="23">
        <f>SUMIF('📋 ACTIVOS'!C5:C19,"RF",'📋 ACTIVOS'!I5:I19)</f>
        <v/>
      </c>
      <c r="E18" s="23">
        <f>SUMIF('📋 ACTIVOS'!C5:C19,"RF",'📋 ACTIVOS'!J5:J19)</f>
        <v/>
      </c>
      <c r="F18" s="24">
        <f>IFERROR(D18/C18,0)</f>
        <v/>
      </c>
      <c r="G18" s="24">
        <f>IFERROR(SUMPRODUCT(('📋 ACTIVOS'!C5:C19="RF")*'📋 ACTIVOS'!I5:I19*'📋 ACTIVOS'!L5:L19)/SUMIF('📋 ACTIVOS'!C5:C19,"RF",'📋 ACTIVOS'!I5:I19),0)</f>
        <v/>
      </c>
      <c r="H18" s="62">
        <f>IFERROR(C18/SUM($C$18:$C$20),0)</f>
        <v/>
      </c>
      <c r="J18" s="63">
        <f>'⚙️ INPUTS'!E13</f>
        <v/>
      </c>
    </row>
    <row r="19" ht="18" customHeight="1">
      <c r="B19" s="64" t="inlineStr">
        <is>
          <t>🔵 Renta Variable (RV)</t>
        </is>
      </c>
      <c r="C19" s="32">
        <f>SUMIF('📋 ACTIVOS'!C5:C19,"RV",'📋 ACTIVOS'!G5:G19)</f>
        <v/>
      </c>
      <c r="D19" s="32">
        <f>SUMIF('📋 ACTIVOS'!C5:C19,"RV",'📋 ACTIVOS'!I5:I19)</f>
        <v/>
      </c>
      <c r="E19" s="32">
        <f>SUMIF('📋 ACTIVOS'!C5:C19,"RV",'📋 ACTIVOS'!J5:J19)</f>
        <v/>
      </c>
      <c r="F19" s="34">
        <f>IFERROR(D19/C19,0)</f>
        <v/>
      </c>
      <c r="G19" s="34">
        <f>IFERROR(SUMPRODUCT(('📋 ACTIVOS'!C5:C19="RV")*'📋 ACTIVOS'!I5:I19*'📋 ACTIVOS'!L5:L19)/SUMIF('📋 ACTIVOS'!C5:C19,"RV",'📋 ACTIVOS'!I5:I19),0)</f>
        <v/>
      </c>
      <c r="H19" s="65">
        <f>IFERROR(C19/SUM($C$18:$C$20),0)</f>
        <v/>
      </c>
      <c r="J19" s="66">
        <f>'⚙️ INPUTS'!E14</f>
        <v/>
      </c>
    </row>
    <row r="20" ht="18" customHeight="1">
      <c r="B20" s="67" t="inlineStr">
        <is>
          <t>🟡 Otros / SCR</t>
        </is>
      </c>
      <c r="C20" s="43">
        <f>SUMIF('📋 ACTIVOS'!C5:C19,"SCR",'📋 ACTIVOS'!G5:G19)</f>
        <v/>
      </c>
      <c r="D20" s="43">
        <f>SUMIF('📋 ACTIVOS'!C5:C19,"SCR",'📋 ACTIVOS'!I5:I19)</f>
        <v/>
      </c>
      <c r="E20" s="43">
        <f>SUMIF('📋 ACTIVOS'!C5:C19,"SCR",'📋 ACTIVOS'!J5:J19)</f>
        <v/>
      </c>
      <c r="F20" s="44">
        <f>IFERROR(D20/C20,0)</f>
        <v/>
      </c>
      <c r="G20" s="44">
        <f>IFERROR(SUMPRODUCT(('📋 ACTIVOS'!C5:C19="SCR")*'📋 ACTIVOS'!I5:I19*'📋 ACTIVOS'!L5:L19)/SUMIF('📋 ACTIVOS'!C5:C19,"SCR",'📋 ACTIVOS'!I5:I19),0)</f>
        <v/>
      </c>
      <c r="H20" s="68">
        <f>IFERROR(C20/SUM($C$18:$C$20),0)</f>
        <v/>
      </c>
      <c r="J20" s="69">
        <f>0</f>
        <v/>
      </c>
    </row>
    <row r="21" ht="18" customHeight="1">
      <c r="B21" s="5" t="inlineStr">
        <is>
          <t>⬛ TOTAL</t>
        </is>
      </c>
      <c r="C21" s="49">
        <f>'📋 ACTIVOS'!G20</f>
        <v/>
      </c>
      <c r="D21" s="49">
        <f>'📋 ACTIVOS'!I20</f>
        <v/>
      </c>
      <c r="E21" s="49">
        <f>'📋 ACTIVOS'!J20</f>
        <v/>
      </c>
      <c r="F21" s="50">
        <f>'📋 ACTIVOS'!K20</f>
        <v/>
      </c>
      <c r="G21" s="50">
        <f>'📋 ACTIVOS'!L20</f>
        <v/>
      </c>
      <c r="H21" s="51">
        <f>SUM(N18:N20)</f>
        <v/>
      </c>
      <c r="J21" s="70">
        <f>'⚙️ INPUTS'!B18</f>
        <v/>
      </c>
    </row>
  </sheetData>
  <mergeCells count="21">
    <mergeCell ref="H10:I10"/>
    <mergeCell ref="E5:F5"/>
    <mergeCell ref="H4:I4"/>
    <mergeCell ref="H9:I9"/>
    <mergeCell ref="E4:F4"/>
    <mergeCell ref="H6:I6"/>
    <mergeCell ref="B11:C11"/>
    <mergeCell ref="E10:F10"/>
    <mergeCell ref="E9:F9"/>
    <mergeCell ref="A1:J1"/>
    <mergeCell ref="H11:I11"/>
    <mergeCell ref="E6:F6"/>
    <mergeCell ref="B10:C10"/>
    <mergeCell ref="E11:F11"/>
    <mergeCell ref="A16:J16"/>
    <mergeCell ref="B9:C9"/>
    <mergeCell ref="B6:C6"/>
    <mergeCell ref="B5:C5"/>
    <mergeCell ref="H5:I5"/>
    <mergeCell ref="A2:J2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C27B0"/>
    <outlinePr summaryBelow="1" summaryRight="1"/>
    <pageSetUpPr/>
  </sheetPr>
  <dimension ref="A1:J3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</cols>
  <sheetData>
    <row r="1" ht="28" customHeight="1">
      <c r="A1" s="1" t="inlineStr">
        <is>
          <t>📈  EVOLUCIÓN HISTÓRICA DE CARTERA — Rellena manualmente al actualizar el Excel</t>
        </is>
      </c>
    </row>
    <row r="2" ht="16" customHeight="1">
      <c r="A2" s="15" t="inlineStr">
        <is>
          <t>Cada vez que actualices el Excel, copia una nueva fila aquí con los valores del Dashboard · Esto construye el histórico para la gráfica de líneas</t>
        </is>
      </c>
    </row>
    <row r="3" ht="8" customHeight="1"/>
    <row r="4" ht="22" customHeight="1">
      <c r="A4" s="6" t="inlineStr">
        <is>
          <t>Fecha</t>
        </is>
      </c>
      <c r="B4" s="6" t="inlineStr">
        <is>
          <t>Valor Total €</t>
        </is>
      </c>
      <c r="C4" s="6" t="inlineStr">
        <is>
          <t>Total Invest. €</t>
        </is>
      </c>
      <c r="D4" s="6" t="inlineStr">
        <is>
          <t>G/P €</t>
        </is>
      </c>
      <c r="E4" s="6" t="inlineStr">
        <is>
          <t>Rent. Total %</t>
        </is>
      </c>
      <c r="F4" s="6" t="inlineStr">
        <is>
          <t>Peso RF %</t>
        </is>
      </c>
      <c r="G4" s="6" t="inlineStr">
        <is>
          <t>Peso RV %</t>
        </is>
      </c>
      <c r="H4" s="6" t="inlineStr">
        <is>
          <t>Peso SCR %</t>
        </is>
      </c>
      <c r="I4" s="6" t="inlineStr">
        <is>
          <t>Sharpe Est.</t>
        </is>
      </c>
      <c r="J4" s="6" t="inlineStr">
        <is>
          <t>Notas</t>
        </is>
      </c>
    </row>
    <row r="5" ht="18" customHeight="1">
      <c r="A5" s="71" t="inlineStr">
        <is>
          <t>21/06/2023</t>
        </is>
      </c>
      <c r="B5" s="72" t="n">
        <v>54000</v>
      </c>
      <c r="C5" s="72" t="n">
        <v>54419.56</v>
      </c>
      <c r="D5" s="73" t="n">
        <v>-419.56</v>
      </c>
      <c r="E5" s="74" t="n">
        <v>-0.0077</v>
      </c>
      <c r="F5" s="75" t="n">
        <v>0.85</v>
      </c>
      <c r="G5" s="75" t="n">
        <v>0.1</v>
      </c>
      <c r="H5" s="75" t="n">
        <v>0</v>
      </c>
      <c r="I5" s="76" t="n">
        <v>0</v>
      </c>
      <c r="J5" s="77" t="inlineStr">
        <is>
          <t>Primeras posiciones RF Horizonte + Constantfons</t>
        </is>
      </c>
    </row>
    <row r="6" ht="18" customHeight="1">
      <c r="A6" s="71" t="inlineStr">
        <is>
          <t>31/12/2023</t>
        </is>
      </c>
      <c r="B6" s="72" t="n">
        <v>62000</v>
      </c>
      <c r="C6" s="72" t="n">
        <v>60000</v>
      </c>
      <c r="D6" s="73" t="n">
        <v>2000</v>
      </c>
      <c r="E6" s="74" t="n">
        <v>0.033</v>
      </c>
      <c r="F6" s="75" t="n">
        <v>0.8</v>
      </c>
      <c r="G6" s="75" t="n">
        <v>0.15</v>
      </c>
      <c r="H6" s="75" t="n">
        <v>0</v>
      </c>
      <c r="I6" s="76" t="n">
        <v>0.35</v>
      </c>
      <c r="J6" s="77" t="inlineStr">
        <is>
          <t>Fin de año 2023</t>
        </is>
      </c>
    </row>
    <row r="7" ht="18" customHeight="1">
      <c r="A7" s="71" t="inlineStr">
        <is>
          <t>21/05/2024</t>
        </is>
      </c>
      <c r="B7" s="72" t="n">
        <v>98000</v>
      </c>
      <c r="C7" s="72" t="n">
        <v>95000</v>
      </c>
      <c r="D7" s="73" t="n">
        <v>3000</v>
      </c>
      <c r="E7" s="74" t="n">
        <v>0.032</v>
      </c>
      <c r="F7" s="75" t="n">
        <v>0.78</v>
      </c>
      <c r="G7" s="75" t="n">
        <v>0.17</v>
      </c>
      <c r="H7" s="75" t="n">
        <v>0</v>
      </c>
      <c r="I7" s="76" t="n">
        <v>0.4</v>
      </c>
      <c r="J7" s="77" t="inlineStr">
        <is>
          <t>Entra GVC RF Flexible Eneko</t>
        </is>
      </c>
    </row>
    <row r="8" ht="18" customHeight="1">
      <c r="A8" s="71" t="inlineStr">
        <is>
          <t>31/12/2024</t>
        </is>
      </c>
      <c r="B8" s="72" t="n">
        <v>140000</v>
      </c>
      <c r="C8" s="72" t="n">
        <v>128000</v>
      </c>
      <c r="D8" s="73" t="n">
        <v>12000</v>
      </c>
      <c r="E8" s="74" t="n">
        <v>0.094</v>
      </c>
      <c r="F8" s="75" t="n">
        <v>0.72</v>
      </c>
      <c r="G8" s="75" t="n">
        <v>0.22</v>
      </c>
      <c r="H8" s="75" t="n">
        <v>0.04</v>
      </c>
      <c r="I8" s="76" t="n">
        <v>0.65</v>
      </c>
      <c r="J8" s="77" t="inlineStr">
        <is>
          <t>Fin de año 2024</t>
        </is>
      </c>
    </row>
    <row r="9" ht="18" customHeight="1">
      <c r="A9" s="71" t="inlineStr">
        <is>
          <t>20/06/2025</t>
        </is>
      </c>
      <c r="B9" s="72" t="n">
        <v>148000</v>
      </c>
      <c r="C9" s="72" t="n">
        <v>133000</v>
      </c>
      <c r="D9" s="73" t="n">
        <v>15000</v>
      </c>
      <c r="E9" s="74" t="n">
        <v>0.113</v>
      </c>
      <c r="F9" s="75" t="n">
        <v>0.68</v>
      </c>
      <c r="G9" s="75" t="n">
        <v>0.25</v>
      </c>
      <c r="H9" s="75" t="n">
        <v>0.04</v>
      </c>
      <c r="I9" s="76" t="n">
        <v>0.7</v>
      </c>
      <c r="J9" s="77" t="inlineStr">
        <is>
          <t>Apertura cuenta conjunta GB.70007162</t>
        </is>
      </c>
    </row>
    <row r="10" ht="18" customHeight="1">
      <c r="A10" s="71" t="inlineStr">
        <is>
          <t>05/12/2025</t>
        </is>
      </c>
      <c r="B10" s="72" t="n">
        <v>156000</v>
      </c>
      <c r="C10" s="72" t="n">
        <v>142000</v>
      </c>
      <c r="D10" s="73" t="n">
        <v>14000</v>
      </c>
      <c r="E10" s="74" t="n">
        <v>0.099</v>
      </c>
      <c r="F10" s="75" t="n">
        <v>0.65</v>
      </c>
      <c r="G10" s="75" t="n">
        <v>0.28</v>
      </c>
      <c r="H10" s="75" t="n">
        <v>0.04</v>
      </c>
      <c r="I10" s="76" t="n">
        <v>0.68</v>
      </c>
      <c r="J10" s="77" t="inlineStr">
        <is>
          <t>Entra GVC Value Minu</t>
        </is>
      </c>
    </row>
    <row r="11" ht="18" customHeight="1">
      <c r="A11" s="71" t="inlineStr">
        <is>
          <t>22/02/2026</t>
        </is>
      </c>
      <c r="B11" s="78">
        <f>'📊 DASHBOARD'!C5</f>
        <v/>
      </c>
      <c r="C11" s="78">
        <f>'📊 DASHBOARD'!F5</f>
        <v/>
      </c>
      <c r="D11" s="79">
        <f>B11-C11</f>
        <v/>
      </c>
      <c r="E11" s="80">
        <f>IFERROR(D11/C11,0)</f>
        <v/>
      </c>
      <c r="F11" s="81">
        <f>'📊 DASHBOARD'!?</f>
        <v/>
      </c>
      <c r="G11" s="81">
        <f>'📊 DASHBOARD'!?</f>
        <v/>
      </c>
      <c r="H11" s="81">
        <f>'📊 DASHBOARD'!?</f>
        <v/>
      </c>
      <c r="I11" s="2" t="inlineStr"/>
      <c r="J11" s="82" t="inlineStr">
        <is>
          <t>← Datos actuales del Dashboard</t>
        </is>
      </c>
    </row>
    <row r="12" ht="18" customHeight="1">
      <c r="A12" s="83" t="inlineStr"/>
      <c r="B12" s="83" t="inlineStr"/>
      <c r="C12" s="83" t="inlineStr"/>
      <c r="D12" s="83" t="inlineStr"/>
      <c r="E12" s="83" t="inlineStr"/>
      <c r="F12" s="83" t="inlineStr"/>
      <c r="G12" s="83" t="inlineStr"/>
      <c r="H12" s="83" t="inlineStr"/>
      <c r="I12" s="83" t="inlineStr"/>
      <c r="J12" s="83" t="inlineStr"/>
    </row>
    <row r="13" ht="18" customHeight="1">
      <c r="A13" s="83" t="inlineStr"/>
      <c r="B13" s="83" t="inlineStr"/>
      <c r="C13" s="83" t="inlineStr"/>
      <c r="D13" s="83" t="inlineStr"/>
      <c r="E13" s="83" t="inlineStr"/>
      <c r="F13" s="83" t="inlineStr"/>
      <c r="G13" s="83" t="inlineStr"/>
      <c r="H13" s="83" t="inlineStr"/>
      <c r="I13" s="83" t="inlineStr"/>
      <c r="J13" s="83" t="inlineStr"/>
    </row>
    <row r="14" ht="18" customHeight="1">
      <c r="A14" s="83" t="inlineStr"/>
      <c r="B14" s="83" t="inlineStr"/>
      <c r="C14" s="83" t="inlineStr"/>
      <c r="D14" s="83" t="inlineStr"/>
      <c r="E14" s="83" t="inlineStr"/>
      <c r="F14" s="83" t="inlineStr"/>
      <c r="G14" s="83" t="inlineStr"/>
      <c r="H14" s="83" t="inlineStr"/>
      <c r="I14" s="83" t="inlineStr"/>
      <c r="J14" s="83" t="inlineStr"/>
    </row>
    <row r="15" ht="18" customHeight="1">
      <c r="A15" s="83" t="inlineStr"/>
      <c r="B15" s="83" t="inlineStr"/>
      <c r="C15" s="83" t="inlineStr"/>
      <c r="D15" s="83" t="inlineStr"/>
      <c r="E15" s="83" t="inlineStr"/>
      <c r="F15" s="83" t="inlineStr"/>
      <c r="G15" s="83" t="inlineStr"/>
      <c r="H15" s="83" t="inlineStr"/>
      <c r="I15" s="83" t="inlineStr"/>
      <c r="J15" s="83" t="inlineStr"/>
    </row>
    <row r="16" ht="18" customHeight="1">
      <c r="A16" s="83" t="inlineStr"/>
      <c r="B16" s="83" t="inlineStr"/>
      <c r="C16" s="83" t="inlineStr"/>
      <c r="D16" s="83" t="inlineStr"/>
      <c r="E16" s="83" t="inlineStr"/>
      <c r="F16" s="83" t="inlineStr"/>
      <c r="G16" s="83" t="inlineStr"/>
      <c r="H16" s="83" t="inlineStr"/>
      <c r="I16" s="83" t="inlineStr"/>
      <c r="J16" s="83" t="inlineStr"/>
    </row>
    <row r="17" ht="18" customHeight="1">
      <c r="A17" s="83" t="inlineStr"/>
      <c r="B17" s="83" t="inlineStr"/>
      <c r="C17" s="83" t="inlineStr"/>
      <c r="D17" s="83" t="inlineStr"/>
      <c r="E17" s="83" t="inlineStr"/>
      <c r="F17" s="83" t="inlineStr"/>
      <c r="G17" s="83" t="inlineStr"/>
      <c r="H17" s="83" t="inlineStr"/>
      <c r="I17" s="83" t="inlineStr"/>
      <c r="J17" s="83" t="inlineStr"/>
    </row>
    <row r="18" ht="18" customHeight="1">
      <c r="A18" s="83" t="inlineStr"/>
      <c r="B18" s="83" t="inlineStr"/>
      <c r="C18" s="83" t="inlineStr"/>
      <c r="D18" s="83" t="inlineStr"/>
      <c r="E18" s="83" t="inlineStr"/>
      <c r="F18" s="83" t="inlineStr"/>
      <c r="G18" s="83" t="inlineStr"/>
      <c r="H18" s="83" t="inlineStr"/>
      <c r="I18" s="83" t="inlineStr"/>
      <c r="J18" s="83" t="inlineStr"/>
    </row>
    <row r="19" ht="18" customHeight="1">
      <c r="A19" s="83" t="inlineStr"/>
      <c r="B19" s="83" t="inlineStr"/>
      <c r="C19" s="83" t="inlineStr"/>
      <c r="D19" s="83" t="inlineStr"/>
      <c r="E19" s="83" t="inlineStr"/>
      <c r="F19" s="83" t="inlineStr"/>
      <c r="G19" s="83" t="inlineStr"/>
      <c r="H19" s="83" t="inlineStr"/>
      <c r="I19" s="83" t="inlineStr"/>
      <c r="J19" s="83" t="inlineStr"/>
    </row>
    <row r="20" ht="18" customHeight="1">
      <c r="A20" s="83" t="inlineStr"/>
      <c r="B20" s="83" t="inlineStr"/>
      <c r="C20" s="83" t="inlineStr"/>
      <c r="D20" s="83" t="inlineStr"/>
      <c r="E20" s="83" t="inlineStr"/>
      <c r="F20" s="83" t="inlineStr"/>
      <c r="G20" s="83" t="inlineStr"/>
      <c r="H20" s="83" t="inlineStr"/>
      <c r="I20" s="83" t="inlineStr"/>
      <c r="J20" s="83" t="inlineStr"/>
    </row>
    <row r="21" ht="18" customHeight="1">
      <c r="A21" s="83" t="inlineStr"/>
      <c r="B21" s="83" t="inlineStr"/>
      <c r="C21" s="83" t="inlineStr"/>
      <c r="D21" s="83" t="inlineStr"/>
      <c r="E21" s="83" t="inlineStr"/>
      <c r="F21" s="83" t="inlineStr"/>
      <c r="G21" s="83" t="inlineStr"/>
      <c r="H21" s="83" t="inlineStr"/>
      <c r="I21" s="83" t="inlineStr"/>
      <c r="J21" s="83" t="inlineStr"/>
    </row>
    <row r="22" ht="18" customHeight="1">
      <c r="A22" s="83" t="inlineStr"/>
      <c r="B22" s="83" t="inlineStr"/>
      <c r="C22" s="83" t="inlineStr"/>
      <c r="D22" s="83" t="inlineStr"/>
      <c r="E22" s="83" t="inlineStr"/>
      <c r="F22" s="83" t="inlineStr"/>
      <c r="G22" s="83" t="inlineStr"/>
      <c r="H22" s="83" t="inlineStr"/>
      <c r="I22" s="83" t="inlineStr"/>
      <c r="J22" s="83" t="inlineStr"/>
    </row>
    <row r="23" ht="18" customHeight="1">
      <c r="A23" s="83" t="inlineStr"/>
      <c r="B23" s="83" t="inlineStr"/>
      <c r="C23" s="83" t="inlineStr"/>
      <c r="D23" s="83" t="inlineStr"/>
      <c r="E23" s="83" t="inlineStr"/>
      <c r="F23" s="83" t="inlineStr"/>
      <c r="G23" s="83" t="inlineStr"/>
      <c r="H23" s="83" t="inlineStr"/>
      <c r="I23" s="83" t="inlineStr"/>
      <c r="J23" s="83" t="inlineStr"/>
    </row>
    <row r="24" ht="18" customHeight="1">
      <c r="A24" s="83" t="inlineStr"/>
      <c r="B24" s="83" t="inlineStr"/>
      <c r="C24" s="83" t="inlineStr"/>
      <c r="D24" s="83" t="inlineStr"/>
      <c r="E24" s="83" t="inlineStr"/>
      <c r="F24" s="83" t="inlineStr"/>
      <c r="G24" s="83" t="inlineStr"/>
      <c r="H24" s="83" t="inlineStr"/>
      <c r="I24" s="83" t="inlineStr"/>
      <c r="J24" s="83" t="inlineStr"/>
    </row>
    <row r="25" ht="18" customHeight="1">
      <c r="A25" s="83" t="inlineStr"/>
      <c r="B25" s="83" t="inlineStr"/>
      <c r="C25" s="83" t="inlineStr"/>
      <c r="D25" s="83" t="inlineStr"/>
      <c r="E25" s="83" t="inlineStr"/>
      <c r="F25" s="83" t="inlineStr"/>
      <c r="G25" s="83" t="inlineStr"/>
      <c r="H25" s="83" t="inlineStr"/>
      <c r="I25" s="83" t="inlineStr"/>
      <c r="J25" s="83" t="inlineStr"/>
    </row>
    <row r="26" ht="18" customHeight="1">
      <c r="A26" s="83" t="inlineStr"/>
      <c r="B26" s="83" t="inlineStr"/>
      <c r="C26" s="83" t="inlineStr"/>
      <c r="D26" s="83" t="inlineStr"/>
      <c r="E26" s="83" t="inlineStr"/>
      <c r="F26" s="83" t="inlineStr"/>
      <c r="G26" s="83" t="inlineStr"/>
      <c r="H26" s="83" t="inlineStr"/>
      <c r="I26" s="83" t="inlineStr"/>
      <c r="J26" s="83" t="inlineStr"/>
    </row>
    <row r="27" ht="18" customHeight="1">
      <c r="A27" s="83" t="inlineStr"/>
      <c r="B27" s="83" t="inlineStr"/>
      <c r="C27" s="83" t="inlineStr"/>
      <c r="D27" s="83" t="inlineStr"/>
      <c r="E27" s="83" t="inlineStr"/>
      <c r="F27" s="83" t="inlineStr"/>
      <c r="G27" s="83" t="inlineStr"/>
      <c r="H27" s="83" t="inlineStr"/>
      <c r="I27" s="83" t="inlineStr"/>
      <c r="J27" s="83" t="inlineStr"/>
    </row>
    <row r="28" ht="18" customHeight="1">
      <c r="A28" s="83" t="inlineStr"/>
      <c r="B28" s="83" t="inlineStr"/>
      <c r="C28" s="83" t="inlineStr"/>
      <c r="D28" s="83" t="inlineStr"/>
      <c r="E28" s="83" t="inlineStr"/>
      <c r="F28" s="83" t="inlineStr"/>
      <c r="G28" s="83" t="inlineStr"/>
      <c r="H28" s="83" t="inlineStr"/>
      <c r="I28" s="83" t="inlineStr"/>
      <c r="J28" s="83" t="inlineStr"/>
    </row>
    <row r="29" ht="18" customHeight="1">
      <c r="A29" s="83" t="inlineStr"/>
      <c r="B29" s="83" t="inlineStr"/>
      <c r="C29" s="83" t="inlineStr"/>
      <c r="D29" s="83" t="inlineStr"/>
      <c r="E29" s="83" t="inlineStr"/>
      <c r="F29" s="83" t="inlineStr"/>
      <c r="G29" s="83" t="inlineStr"/>
      <c r="H29" s="83" t="inlineStr"/>
      <c r="I29" s="83" t="inlineStr"/>
      <c r="J29" s="83" t="inlineStr"/>
    </row>
    <row r="30" ht="18" customHeight="1">
      <c r="A30" s="83" t="inlineStr"/>
      <c r="B30" s="83" t="inlineStr"/>
      <c r="C30" s="83" t="inlineStr"/>
      <c r="D30" s="83" t="inlineStr"/>
      <c r="E30" s="83" t="inlineStr"/>
      <c r="F30" s="83" t="inlineStr"/>
      <c r="G30" s="83" t="inlineStr"/>
      <c r="H30" s="83" t="inlineStr"/>
      <c r="I30" s="83" t="inlineStr"/>
      <c r="J30" s="83" t="inlineStr"/>
    </row>
    <row r="31" ht="18" customHeight="1">
      <c r="A31" s="83" t="inlineStr"/>
      <c r="B31" s="83" t="inlineStr"/>
      <c r="C31" s="83" t="inlineStr"/>
      <c r="D31" s="83" t="inlineStr"/>
      <c r="E31" s="83" t="inlineStr"/>
      <c r="F31" s="83" t="inlineStr"/>
      <c r="G31" s="83" t="inlineStr"/>
      <c r="H31" s="83" t="inlineStr"/>
      <c r="I31" s="83" t="inlineStr"/>
      <c r="J31" s="83" t="inlineStr"/>
    </row>
    <row r="32" ht="18" customHeight="1">
      <c r="A32" s="83" t="inlineStr"/>
      <c r="B32" s="83" t="inlineStr"/>
      <c r="C32" s="83" t="inlineStr"/>
      <c r="D32" s="83" t="inlineStr"/>
      <c r="E32" s="83" t="inlineStr"/>
      <c r="F32" s="83" t="inlineStr"/>
      <c r="G32" s="83" t="inlineStr"/>
      <c r="H32" s="83" t="inlineStr"/>
      <c r="I32" s="83" t="inlineStr"/>
      <c r="J32" s="83" t="inlineStr"/>
    </row>
    <row r="33" ht="18" customHeight="1">
      <c r="A33" s="83" t="inlineStr"/>
      <c r="B33" s="83" t="inlineStr"/>
      <c r="C33" s="83" t="inlineStr"/>
      <c r="D33" s="83" t="inlineStr"/>
      <c r="E33" s="83" t="inlineStr"/>
      <c r="F33" s="83" t="inlineStr"/>
      <c r="G33" s="83" t="inlineStr"/>
      <c r="H33" s="83" t="inlineStr"/>
      <c r="I33" s="83" t="inlineStr"/>
      <c r="J33" s="83" t="inlineStr"/>
    </row>
    <row r="34" ht="18" customHeight="1">
      <c r="A34" s="83" t="inlineStr"/>
      <c r="B34" s="83" t="inlineStr"/>
      <c r="C34" s="83" t="inlineStr"/>
      <c r="D34" s="83" t="inlineStr"/>
      <c r="E34" s="83" t="inlineStr"/>
      <c r="F34" s="83" t="inlineStr"/>
      <c r="G34" s="83" t="inlineStr"/>
      <c r="H34" s="83" t="inlineStr"/>
      <c r="I34" s="83" t="inlineStr"/>
      <c r="J34" s="83" t="inlineStr"/>
    </row>
    <row r="35" ht="18" customHeight="1">
      <c r="A35" s="83" t="inlineStr"/>
      <c r="B35" s="83" t="inlineStr"/>
      <c r="C35" s="83" t="inlineStr"/>
      <c r="D35" s="83" t="inlineStr"/>
      <c r="E35" s="83" t="inlineStr"/>
      <c r="F35" s="83" t="inlineStr"/>
      <c r="G35" s="83" t="inlineStr"/>
      <c r="H35" s="83" t="inlineStr"/>
      <c r="I35" s="83" t="inlineStr"/>
      <c r="J35" s="83" t="inlineStr"/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F4757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📉  HISTÓRICO DE RENTABILIDAD POR ACTIVO — Para gráficas individuales</t>
        </is>
      </c>
    </row>
    <row r="2" ht="16" customHeight="1">
      <c r="A2" s="15" t="inlineStr">
        <is>
          <t>Rellena manualmente tras cada actualización · Columnas = fechas snapshot · Filas = activos</t>
        </is>
      </c>
    </row>
    <row r="4" ht="22" customHeight="1">
      <c r="A4" s="5" t="inlineStr">
        <is>
          <t>Activo</t>
        </is>
      </c>
      <c r="B4" s="6" t="inlineStr">
        <is>
          <t>21/06/2023</t>
        </is>
      </c>
      <c r="C4" s="6" t="inlineStr">
        <is>
          <t>31/12/2023</t>
        </is>
      </c>
      <c r="D4" s="6" t="inlineStr">
        <is>
          <t>31/12/2024</t>
        </is>
      </c>
      <c r="E4" s="6" t="inlineStr">
        <is>
          <t>20/06/2025</t>
        </is>
      </c>
      <c r="F4" s="6" t="inlineStr">
        <is>
          <t>22/02/2026</t>
        </is>
      </c>
    </row>
    <row r="5" ht="18" customHeight="1">
      <c r="A5" s="17" t="inlineStr">
        <is>
          <t>GVC Gaesco RF Horizonte 2027 A</t>
        </is>
      </c>
      <c r="B5" s="16" t="inlineStr">
        <is>
          <t>—</t>
        </is>
      </c>
      <c r="C5" s="16" t="inlineStr">
        <is>
          <t>—</t>
        </is>
      </c>
      <c r="D5" s="25" t="n">
        <v>0.101</v>
      </c>
      <c r="E5" s="25" t="n">
        <v>0.1326</v>
      </c>
      <c r="F5" s="25" t="n">
        <v>0.1515</v>
      </c>
    </row>
    <row r="6" ht="18" customHeight="1">
      <c r="A6" s="17" t="inlineStr">
        <is>
          <t>GVC Gaesco RF Flexible FI A</t>
        </is>
      </c>
      <c r="B6" s="16" t="inlineStr">
        <is>
          <t>—</t>
        </is>
      </c>
      <c r="C6" s="16" t="inlineStr">
        <is>
          <t>—</t>
        </is>
      </c>
      <c r="D6" s="16" t="inlineStr">
        <is>
          <t>—</t>
        </is>
      </c>
      <c r="E6" s="25" t="n">
        <v>0.0219</v>
      </c>
      <c r="F6" s="25" t="n">
        <v>0.0703</v>
      </c>
    </row>
    <row r="7" ht="18" customHeight="1">
      <c r="A7" s="17" t="inlineStr">
        <is>
          <t>GVC Gaesco Constantfons FI</t>
        </is>
      </c>
      <c r="B7" s="25" t="n">
        <v>0</v>
      </c>
      <c r="C7" s="25" t="n">
        <v>0.018</v>
      </c>
      <c r="D7" s="25" t="n">
        <v>0.025</v>
      </c>
      <c r="E7" s="25" t="n">
        <v>0.028</v>
      </c>
      <c r="F7" s="25" t="n">
        <v>0.0309</v>
      </c>
    </row>
    <row r="8" ht="18" customHeight="1">
      <c r="A8" s="28" t="inlineStr">
        <is>
          <t>GVC Gaesco 300 Places World A</t>
        </is>
      </c>
      <c r="B8" s="27" t="inlineStr">
        <is>
          <t>—</t>
        </is>
      </c>
      <c r="C8" s="35" t="n">
        <v>0.08</v>
      </c>
      <c r="D8" s="35" t="n">
        <v>0.18</v>
      </c>
      <c r="E8" s="35" t="n">
        <v>0.22</v>
      </c>
      <c r="F8" s="35" t="n">
        <v>0.2702</v>
      </c>
    </row>
    <row r="9" ht="18" customHeight="1">
      <c r="A9" s="28" t="inlineStr">
        <is>
          <t>GVC Gaesco Japón FI</t>
        </is>
      </c>
      <c r="B9" s="27" t="inlineStr">
        <is>
          <t>—</t>
        </is>
      </c>
      <c r="C9" s="27" t="inlineStr">
        <is>
          <t>—</t>
        </is>
      </c>
      <c r="D9" s="27" t="inlineStr">
        <is>
          <t>—</t>
        </is>
      </c>
      <c r="E9" s="35" t="n">
        <v>0.18</v>
      </c>
      <c r="F9" s="35" t="n">
        <v>0.2258</v>
      </c>
    </row>
    <row r="10" ht="18" customHeight="1">
      <c r="A10" s="28" t="inlineStr">
        <is>
          <t>GVC Gaesco Value Minu A</t>
        </is>
      </c>
      <c r="B10" s="27" t="inlineStr">
        <is>
          <t>—</t>
        </is>
      </c>
      <c r="C10" s="27" t="inlineStr">
        <is>
          <t>—</t>
        </is>
      </c>
      <c r="D10" s="27" t="inlineStr">
        <is>
          <t>—</t>
        </is>
      </c>
      <c r="E10" s="27" t="inlineStr">
        <is>
          <t>—</t>
        </is>
      </c>
      <c r="F10" s="35" t="n">
        <v>0.1306</v>
      </c>
    </row>
    <row r="11" ht="18" customHeight="1">
      <c r="A11" s="28" t="inlineStr">
        <is>
          <t>GVC Gaesco Zebra US Small Cap</t>
        </is>
      </c>
      <c r="B11" s="27" t="inlineStr">
        <is>
          <t>—</t>
        </is>
      </c>
      <c r="C11" s="27" t="inlineStr">
        <is>
          <t>—</t>
        </is>
      </c>
      <c r="D11" s="27" t="inlineStr">
        <is>
          <t>—</t>
        </is>
      </c>
      <c r="E11" s="35" t="n">
        <v>0.08</v>
      </c>
      <c r="F11" s="35" t="n">
        <v>0.0907</v>
      </c>
    </row>
    <row r="12" ht="18" customHeight="1">
      <c r="A12" s="28" t="inlineStr">
        <is>
          <t>GVC Gaesco Global Equity DS A</t>
        </is>
      </c>
      <c r="B12" s="27" t="inlineStr">
        <is>
          <t>—</t>
        </is>
      </c>
      <c r="C12" s="27" t="inlineStr">
        <is>
          <t>—</t>
        </is>
      </c>
      <c r="D12" s="27" t="inlineStr">
        <is>
          <t>—</t>
        </is>
      </c>
      <c r="E12" s="35" t="n">
        <v>0.1</v>
      </c>
      <c r="F12" s="35" t="n">
        <v>0.1422</v>
      </c>
    </row>
    <row r="13" ht="18" customHeight="1">
      <c r="A13" s="28" t="inlineStr">
        <is>
          <t>GVC Gaesco Small Caps A</t>
        </is>
      </c>
      <c r="B13" s="27" t="inlineStr">
        <is>
          <t>—</t>
        </is>
      </c>
      <c r="C13" s="27" t="inlineStr">
        <is>
          <t>—</t>
        </is>
      </c>
      <c r="D13" s="27" t="inlineStr">
        <is>
          <t>—</t>
        </is>
      </c>
      <c r="E13" s="35" t="n">
        <v>0.04</v>
      </c>
      <c r="F13" s="35" t="n">
        <v>0.0645</v>
      </c>
    </row>
    <row r="14" ht="18" customHeight="1">
      <c r="A14" s="28" t="inlineStr">
        <is>
          <t>GVC Gaesco Emergentfo</t>
        </is>
      </c>
      <c r="B14" s="27" t="inlineStr">
        <is>
          <t>—</t>
        </is>
      </c>
      <c r="C14" s="27" t="inlineStr">
        <is>
          <t>—</t>
        </is>
      </c>
      <c r="D14" s="27" t="inlineStr">
        <is>
          <t>—</t>
        </is>
      </c>
      <c r="E14" s="35" t="n">
        <v>0.08</v>
      </c>
      <c r="F14" s="35" t="n">
        <v>0.1237</v>
      </c>
    </row>
    <row r="15" ht="18" customHeight="1">
      <c r="A15" s="28" t="inlineStr">
        <is>
          <t>GVC Gaesco V.I.F Clase A FI</t>
        </is>
      </c>
      <c r="B15" s="27" t="inlineStr">
        <is>
          <t>—</t>
        </is>
      </c>
      <c r="C15" s="27" t="inlineStr">
        <is>
          <t>—</t>
        </is>
      </c>
      <c r="D15" s="27" t="inlineStr">
        <is>
          <t>—</t>
        </is>
      </c>
      <c r="E15" s="35" t="n">
        <v>0.02</v>
      </c>
      <c r="F15" s="35" t="n">
        <v>0.0392</v>
      </c>
    </row>
    <row r="16" ht="18" customHeight="1">
      <c r="A16" s="38" t="inlineStr">
        <is>
          <t>Next Tier GVC SCR</t>
        </is>
      </c>
      <c r="B16" s="37" t="inlineStr">
        <is>
          <t>—</t>
        </is>
      </c>
      <c r="C16" s="37" t="inlineStr">
        <is>
          <t>—</t>
        </is>
      </c>
      <c r="D16" s="37" t="inlineStr">
        <is>
          <t>—</t>
        </is>
      </c>
      <c r="E16" s="37" t="inlineStr">
        <is>
          <t>—</t>
        </is>
      </c>
      <c r="F16" s="45" t="n">
        <v>0</v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FF6B35"/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0" customWidth="1" min="3" max="3"/>
  </cols>
  <sheetData>
    <row r="1" ht="32" customHeight="1">
      <c r="A1" s="84" t="inlineStr">
        <is>
          <t>🔄  GUÍA RÁPIDA DE ACTUALIZACIÓN</t>
        </is>
      </c>
    </row>
    <row r="3" ht="8" customHeight="1"/>
    <row r="4" ht="22" customHeight="1">
      <c r="A4" s="85" t="inlineStr">
        <is>
          <t>▶  CADA MES — Actualizar precios</t>
        </is>
      </c>
    </row>
    <row r="5" ht="18" customHeight="1">
      <c r="B5" s="86" t="inlineStr">
        <is>
          <t>1</t>
        </is>
      </c>
      <c r="C5" s="87" t="inlineStr">
        <is>
          <t>Ve a la hoja '📋 ACTIVOS'</t>
        </is>
      </c>
    </row>
    <row r="6" ht="18" customHeight="1">
      <c r="B6" s="86" t="inlineStr">
        <is>
          <t>2</t>
        </is>
      </c>
      <c r="C6" s="87" t="inlineStr">
        <is>
          <t>En la columna H (PRECIO HOY, fondo amarillo), introduce el valor liquidativo actual de cada fondo</t>
        </is>
      </c>
    </row>
    <row r="7" ht="18" customHeight="1">
      <c r="B7" s="86" t="inlineStr">
        <is>
          <t>3</t>
        </is>
      </c>
      <c r="C7" s="87" t="inlineStr">
        <is>
          <t>Los valores los obtienes en: gvcgaesco.es → Mi Cartera → Informe de Posiciones</t>
        </is>
      </c>
    </row>
    <row r="8" ht="18" customHeight="1">
      <c r="B8" s="86" t="inlineStr">
        <is>
          <t>4</t>
        </is>
      </c>
      <c r="C8" s="87" t="inlineStr">
        <is>
          <t>Las columnas I (Valor actual), J (G/P) y K (Rent. %) se recalculan automáticamente</t>
        </is>
      </c>
    </row>
    <row r="9" ht="18" customHeight="1">
      <c r="B9" s="86" t="inlineStr">
        <is>
          <t>5</t>
        </is>
      </c>
      <c r="C9" s="87" t="inlineStr">
        <is>
          <t>Actualiza también L (YTD%) y M (MTD%) desde el informe mensual de GVC</t>
        </is>
      </c>
    </row>
    <row r="10" ht="18" customHeight="1">
      <c r="B10" s="86" t="inlineStr">
        <is>
          <t>6</t>
        </is>
      </c>
      <c r="C10" s="87" t="inlineStr">
        <is>
          <t>Guarda el Excel y sube al dashboard web → todo actualizado</t>
        </is>
      </c>
    </row>
    <row r="11" ht="8" customHeight="1"/>
    <row r="12" ht="22" customHeight="1">
      <c r="A12" s="85" t="inlineStr">
        <is>
          <t>▶  NUEVA APORTACIÓN a un fondo existente</t>
        </is>
      </c>
    </row>
    <row r="13" ht="18" customHeight="1">
      <c r="B13" s="86" t="inlineStr">
        <is>
          <t>1</t>
        </is>
      </c>
      <c r="C13" s="87" t="inlineStr">
        <is>
          <t>Ve a la hoja '📋 ACTIVOS'</t>
        </is>
      </c>
    </row>
    <row r="14" ht="18" customHeight="1">
      <c r="B14" s="86" t="inlineStr">
        <is>
          <t>2</t>
        </is>
      </c>
      <c r="C14" s="87" t="inlineStr">
        <is>
          <t>Encuentra la fila del fondo al que has aportado</t>
        </is>
      </c>
    </row>
    <row r="15" ht="18" customHeight="1">
      <c r="B15" s="86" t="inlineStr">
        <is>
          <t>3</t>
        </is>
      </c>
      <c r="C15" s="87" t="inlineStr">
        <is>
          <t>Actualiza la columna E (Nº participaciones) sumando las nuevas participaciones</t>
        </is>
      </c>
    </row>
    <row r="16" ht="18" customHeight="1">
      <c r="B16" s="86" t="inlineStr">
        <is>
          <t>4</t>
        </is>
      </c>
      <c r="C16" s="87" t="inlineStr">
        <is>
          <t>Actualiza la columna G (Total invertido) sumando el importe aportado</t>
        </is>
      </c>
    </row>
    <row r="17" ht="18" customHeight="1">
      <c r="B17" s="86" t="inlineStr">
        <is>
          <t>5</t>
        </is>
      </c>
      <c r="C17" s="87" t="inlineStr">
        <is>
          <t>La columna F (Precio coste medio) se recalcula sola</t>
        </is>
      </c>
    </row>
    <row r="18" ht="18" customHeight="1">
      <c r="B18" s="86" t="inlineStr">
        <is>
          <t>6</t>
        </is>
      </c>
      <c r="C18" s="87" t="inlineStr">
        <is>
          <t>Guarda y sube</t>
        </is>
      </c>
    </row>
    <row r="19" ht="8" customHeight="1"/>
    <row r="20" ht="22" customHeight="1">
      <c r="A20" s="85" t="inlineStr">
        <is>
          <t>▶  NUEVA POSICIÓN (fondo nuevo)</t>
        </is>
      </c>
    </row>
    <row r="21" ht="18" customHeight="1">
      <c r="B21" s="86" t="inlineStr">
        <is>
          <t>1</t>
        </is>
      </c>
      <c r="C21" s="87" t="inlineStr">
        <is>
          <t>Ve a la hoja '📋 ACTIVOS'</t>
        </is>
      </c>
    </row>
    <row r="22" ht="18" customHeight="1">
      <c r="B22" s="86" t="inlineStr">
        <is>
          <t>2</t>
        </is>
      </c>
      <c r="C22" s="87" t="inlineStr">
        <is>
          <t>Inserta una fila nueva antes de la fila TOTAL (clic derecho → Insertar fila)</t>
        </is>
      </c>
    </row>
    <row r="23" ht="18" customHeight="1">
      <c r="B23" s="86" t="inlineStr">
        <is>
          <t>3</t>
        </is>
      </c>
      <c r="C23" s="87" t="inlineStr">
        <is>
          <t>Copia el formato de la fila anterior</t>
        </is>
      </c>
    </row>
    <row r="24" ht="18" customHeight="1">
      <c r="B24" s="86" t="inlineStr">
        <is>
          <t>4</t>
        </is>
      </c>
      <c r="C24" s="87" t="inlineStr">
        <is>
          <t>Rellena: Nombre (col B), Cat. RF/RV/SCR (col C), Cuenta (col D)</t>
        </is>
      </c>
    </row>
    <row r="25" ht="18" customHeight="1">
      <c r="B25" s="86" t="inlineStr">
        <is>
          <t>5</t>
        </is>
      </c>
      <c r="C25" s="87" t="inlineStr">
        <is>
          <t>Introduce participaciones (E), precio coste (F), total invertido (G), precio hoy (H)</t>
        </is>
      </c>
    </row>
    <row r="26" ht="18" customHeight="1">
      <c r="B26" s="86" t="inlineStr">
        <is>
          <t>6</t>
        </is>
      </c>
      <c r="C26" s="87" t="inlineStr">
        <is>
          <t>Copia las fórmulas de las columnas I a N desde la fila de arriba</t>
        </is>
      </c>
    </row>
    <row r="27" ht="18" customHeight="1">
      <c r="B27" s="86" t="inlineStr">
        <is>
          <t>7</t>
        </is>
      </c>
      <c r="C27" s="87" t="inlineStr">
        <is>
          <t>Añade fecha de primera compra (col O) y notas (col Q)</t>
        </is>
      </c>
    </row>
    <row r="28" ht="8" customHeight="1"/>
    <row r="29" ht="22" customHeight="1">
      <c r="A29" s="85" t="inlineStr">
        <is>
          <t>▶  REGISTRAR SNAPSHOT HISTÓRICO</t>
        </is>
      </c>
    </row>
    <row r="30" ht="18" customHeight="1">
      <c r="B30" s="86" t="inlineStr">
        <is>
          <t>1</t>
        </is>
      </c>
      <c r="C30" s="87" t="inlineStr">
        <is>
          <t>Ve a la hoja '📈 HISTÓRICO'</t>
        </is>
      </c>
    </row>
    <row r="31" ht="18" customHeight="1">
      <c r="B31" s="86" t="inlineStr">
        <is>
          <t>2</t>
        </is>
      </c>
      <c r="C31" s="87" t="inlineStr">
        <is>
          <t>Añade una nueva fila al final de los datos existentes</t>
        </is>
      </c>
    </row>
    <row r="32" ht="18" customHeight="1">
      <c r="B32" s="86" t="inlineStr">
        <is>
          <t>3</t>
        </is>
      </c>
      <c r="C32" s="87" t="inlineStr">
        <is>
          <t>Introduce la fecha de hoy (col A)</t>
        </is>
      </c>
    </row>
    <row r="33" ht="18" customHeight="1">
      <c r="B33" s="86" t="inlineStr">
        <is>
          <t>4</t>
        </is>
      </c>
      <c r="C33" s="87" t="inlineStr">
        <is>
          <t>Copia los valores del Dashboard: Valor Total, Invertido, G/P, Rent.%, pesos por categoría</t>
        </is>
      </c>
    </row>
    <row r="34" ht="18" customHeight="1">
      <c r="B34" s="86" t="inlineStr">
        <is>
          <t>5</t>
        </is>
      </c>
      <c r="C34" s="87" t="inlineStr">
        <is>
          <t>Esto construye la gráfica de líneas histórica</t>
        </is>
      </c>
    </row>
  </sheetData>
  <mergeCells count="5">
    <mergeCell ref="A1:C1"/>
    <mergeCell ref="A12:C12"/>
    <mergeCell ref="A4:C4"/>
    <mergeCell ref="A20:C20"/>
    <mergeCell ref="A29:C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2026-02-23T20:37:55Z</dcterms:created>
  <dcterms:modified xmlns:dcterms="http://purl.org/dc/terms/" xmlns:xsi="http://www.w3.org/2001/XMLSchema-instance" xsi:type="dcterms:W3CDTF">2026-02-24T22:20:23Z</dcterms:modified>
</cp:coreProperties>
</file>